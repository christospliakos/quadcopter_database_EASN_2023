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aristotleuniversity-my.sharepoint.com/personal/pliakosc_office365_auth_gr/Documents/LFMT/Papers/[MIDRES] ML paper/"/>
    </mc:Choice>
  </mc:AlternateContent>
  <xr:revisionPtr revIDLastSave="107" documentId="13_ncr:1_{097E229B-0637-46EA-BD75-C66D7793135D}" xr6:coauthVersionLast="47" xr6:coauthVersionMax="47" xr10:uidLastSave="{459A1190-704F-4514-9115-F09D23E148AD}"/>
  <bookViews>
    <workbookView xWindow="-120" yWindow="-120" windowWidth="29040" windowHeight="15990" xr2:uid="{00000000-000D-0000-FFFF-FFFF00000000}"/>
  </bookViews>
  <sheets>
    <sheet name="Drones" sheetId="1" r:id="rId1"/>
  </sheets>
  <definedNames>
    <definedName name="_xlnm._FilterDatabase" localSheetId="0" hidden="1">Drones!$A$1:$AM$84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0" i="1" l="1"/>
  <c r="L80" i="1"/>
  <c r="M80" i="1"/>
  <c r="F52" i="1"/>
  <c r="F59" i="1"/>
  <c r="G59" i="1" s="1"/>
  <c r="F38" i="1"/>
  <c r="G38" i="1" s="1"/>
  <c r="F83" i="1"/>
  <c r="G83" i="1" s="1"/>
  <c r="F75" i="1"/>
  <c r="G75" i="1" s="1"/>
  <c r="F69" i="1"/>
  <c r="G69" i="1" s="1"/>
  <c r="F37" i="1"/>
  <c r="G37" i="1" s="1"/>
  <c r="F35" i="1"/>
  <c r="G35" i="1" s="1"/>
  <c r="L35" i="1"/>
  <c r="M35" i="1"/>
  <c r="F21" i="1"/>
  <c r="G21" i="1" s="1"/>
  <c r="F9" i="1"/>
  <c r="G9" i="1" s="1"/>
  <c r="F8" i="1"/>
  <c r="G8" i="1" s="1"/>
  <c r="L3" i="1"/>
  <c r="L4" i="1"/>
  <c r="L5" i="1"/>
  <c r="L6" i="1"/>
  <c r="L7" i="1"/>
  <c r="L8" i="1"/>
  <c r="L9" i="1"/>
  <c r="L10" i="1"/>
  <c r="L11" i="1"/>
  <c r="L12" i="1"/>
  <c r="L13" i="1"/>
  <c r="L14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1" i="1"/>
  <c r="L42" i="1"/>
  <c r="L47" i="1"/>
  <c r="L51" i="1"/>
  <c r="L52" i="1"/>
  <c r="L55" i="1"/>
  <c r="L56" i="1"/>
  <c r="L57" i="1"/>
  <c r="L60" i="1"/>
  <c r="L61" i="1"/>
  <c r="L62" i="1"/>
  <c r="L63" i="1"/>
  <c r="L64" i="1"/>
  <c r="L65" i="1"/>
  <c r="L66" i="1"/>
  <c r="L69" i="1"/>
  <c r="L70" i="1"/>
  <c r="L71" i="1"/>
  <c r="L72" i="1"/>
  <c r="L73" i="1"/>
  <c r="L74" i="1"/>
  <c r="L75" i="1"/>
  <c r="L76" i="1"/>
  <c r="L77" i="1"/>
  <c r="L78" i="1"/>
  <c r="L79" i="1"/>
  <c r="L82" i="1"/>
  <c r="L83" i="1"/>
  <c r="L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2" i="1"/>
  <c r="F84" i="1"/>
  <c r="G84" i="1" s="1"/>
  <c r="F82" i="1"/>
  <c r="G82" i="1" s="1"/>
  <c r="E15" i="1"/>
  <c r="Q84" i="1"/>
  <c r="J84" i="1"/>
  <c r="I84" i="1"/>
  <c r="H84" i="1"/>
  <c r="M83" i="1"/>
  <c r="M82" i="1"/>
  <c r="F81" i="1"/>
  <c r="G81" i="1" s="1"/>
  <c r="J81" i="1"/>
  <c r="H81" i="1"/>
  <c r="I81" i="1"/>
  <c r="F80" i="1"/>
  <c r="G80" i="1" s="1"/>
  <c r="F79" i="1"/>
  <c r="G79" i="1" s="1"/>
  <c r="M79" i="1"/>
  <c r="F78" i="1"/>
  <c r="G78" i="1" s="1"/>
  <c r="R78" i="1"/>
  <c r="F77" i="1"/>
  <c r="G77" i="1" s="1"/>
  <c r="F76" i="1"/>
  <c r="G76" i="1" s="1"/>
  <c r="M76" i="1"/>
  <c r="AB71" i="1"/>
  <c r="M70" i="1"/>
  <c r="M71" i="1"/>
  <c r="M72" i="1"/>
  <c r="M73" i="1"/>
  <c r="M74" i="1"/>
  <c r="M75" i="1"/>
  <c r="F65" i="1"/>
  <c r="G65" i="1" s="1"/>
  <c r="F66" i="1"/>
  <c r="G66" i="1" s="1"/>
  <c r="F67" i="1"/>
  <c r="G67" i="1" s="1"/>
  <c r="F68" i="1"/>
  <c r="G68" i="1" s="1"/>
  <c r="F70" i="1"/>
  <c r="G70" i="1" s="1"/>
  <c r="F71" i="1"/>
  <c r="G71" i="1" s="1"/>
  <c r="F72" i="1"/>
  <c r="G72" i="1" s="1"/>
  <c r="F73" i="1"/>
  <c r="G73" i="1" s="1"/>
  <c r="F74" i="1"/>
  <c r="G74" i="1" s="1"/>
  <c r="M69" i="1"/>
  <c r="AB68" i="1"/>
  <c r="AB67" i="1"/>
  <c r="J67" i="1"/>
  <c r="I67" i="1"/>
  <c r="H67" i="1"/>
  <c r="AB66" i="1"/>
  <c r="F64" i="1"/>
  <c r="G64" i="1" s="1"/>
  <c r="M61" i="1"/>
  <c r="M62" i="1"/>
  <c r="M63" i="1"/>
  <c r="M64" i="1"/>
  <c r="M65" i="1"/>
  <c r="M66" i="1"/>
  <c r="N58" i="1"/>
  <c r="N57" i="1"/>
  <c r="AB55" i="1"/>
  <c r="AB54" i="1"/>
  <c r="L81" i="1" l="1"/>
  <c r="L67" i="1"/>
  <c r="L84" i="1"/>
  <c r="M81" i="1"/>
  <c r="M84" i="1"/>
  <c r="M67" i="1"/>
  <c r="U49" i="1"/>
  <c r="T49" i="1"/>
  <c r="S49" i="1"/>
  <c r="R49" i="1"/>
  <c r="I49" i="1"/>
  <c r="J49" i="1"/>
  <c r="H49" i="1"/>
  <c r="P48" i="1"/>
  <c r="U48" i="1"/>
  <c r="T48" i="1"/>
  <c r="S48" i="1"/>
  <c r="R48" i="1"/>
  <c r="J48" i="1"/>
  <c r="I48" i="1"/>
  <c r="H48" i="1"/>
  <c r="L49" i="1" l="1"/>
  <c r="L48" i="1"/>
  <c r="M48" i="1"/>
  <c r="M49" i="1"/>
  <c r="M47" i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G52" i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60" i="1"/>
  <c r="G60" i="1" s="1"/>
  <c r="F61" i="1"/>
  <c r="G61" i="1" s="1"/>
  <c r="F62" i="1"/>
  <c r="G62" i="1" s="1"/>
  <c r="F63" i="1"/>
  <c r="G63" i="1" s="1"/>
  <c r="Q46" i="1"/>
  <c r="U46" i="1"/>
  <c r="T46" i="1"/>
  <c r="S46" i="1"/>
  <c r="R46" i="1"/>
  <c r="J46" i="1"/>
  <c r="I46" i="1"/>
  <c r="H46" i="1"/>
  <c r="F45" i="1"/>
  <c r="G45" i="1" s="1"/>
  <c r="AB45" i="1"/>
  <c r="P45" i="1"/>
  <c r="U45" i="1"/>
  <c r="T45" i="1"/>
  <c r="S45" i="1"/>
  <c r="R45" i="1"/>
  <c r="I45" i="1"/>
  <c r="H45" i="1"/>
  <c r="J45" i="1"/>
  <c r="F44" i="1"/>
  <c r="G44" i="1" s="1"/>
  <c r="AB44" i="1"/>
  <c r="P44" i="1"/>
  <c r="T44" i="1"/>
  <c r="S44" i="1"/>
  <c r="K43" i="1"/>
  <c r="K44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H44" i="1"/>
  <c r="K46" i="1" l="1"/>
  <c r="L46" i="1"/>
  <c r="L45" i="1"/>
  <c r="M44" i="1"/>
  <c r="L44" i="1"/>
  <c r="M45" i="1"/>
  <c r="M46" i="1"/>
  <c r="K45" i="1"/>
  <c r="F43" i="1"/>
  <c r="G43" i="1" s="1"/>
  <c r="F42" i="1"/>
  <c r="G42" i="1" s="1"/>
  <c r="K42" i="1"/>
  <c r="F41" i="1" l="1"/>
  <c r="G41" i="1" s="1"/>
  <c r="K41" i="1"/>
  <c r="M41" i="1"/>
  <c r="F40" i="1"/>
  <c r="G40" i="1" s="1"/>
  <c r="M40" i="1"/>
  <c r="K40" i="1"/>
  <c r="F39" i="1"/>
  <c r="G39" i="1" s="1"/>
  <c r="M39" i="1"/>
  <c r="K39" i="1"/>
  <c r="E34" i="1"/>
  <c r="F34" i="1" s="1"/>
  <c r="G34" i="1" s="1"/>
  <c r="E33" i="1"/>
  <c r="F33" i="1" s="1"/>
  <c r="G33" i="1" s="1"/>
  <c r="E32" i="1"/>
  <c r="F32" i="1" s="1"/>
  <c r="G32" i="1" s="1"/>
  <c r="E31" i="1"/>
  <c r="F31" i="1" s="1"/>
  <c r="G31" i="1" s="1"/>
  <c r="E30" i="1"/>
  <c r="F30" i="1" s="1"/>
  <c r="G30" i="1" s="1"/>
  <c r="E29" i="1"/>
  <c r="F29" i="1" s="1"/>
  <c r="G29" i="1" s="1"/>
  <c r="E28" i="1"/>
  <c r="F28" i="1" s="1"/>
  <c r="G28" i="1" s="1"/>
  <c r="E27" i="1"/>
  <c r="F27" i="1" s="1"/>
  <c r="G27" i="1" s="1"/>
  <c r="K27" i="1"/>
  <c r="K28" i="1"/>
  <c r="K29" i="1"/>
  <c r="K30" i="1"/>
  <c r="K31" i="1"/>
  <c r="K32" i="1"/>
  <c r="K33" i="1"/>
  <c r="K34" i="1"/>
  <c r="K35" i="1"/>
  <c r="K36" i="1"/>
  <c r="K37" i="1"/>
  <c r="K38" i="1"/>
  <c r="M36" i="1"/>
  <c r="M37" i="1"/>
  <c r="M38" i="1"/>
  <c r="AB20" i="1"/>
  <c r="E19" i="1"/>
  <c r="F19" i="1" s="1"/>
  <c r="G19" i="1" s="1"/>
  <c r="E18" i="1"/>
  <c r="F18" i="1" s="1"/>
  <c r="G18" i="1" s="1"/>
  <c r="E17" i="1"/>
  <c r="F17" i="1" s="1"/>
  <c r="G17" i="1" s="1"/>
  <c r="E16" i="1"/>
  <c r="F16" i="1" s="1"/>
  <c r="G16" i="1" s="1"/>
  <c r="R15" i="1"/>
  <c r="F15" i="1"/>
  <c r="G15" i="1" s="1"/>
  <c r="E12" i="1"/>
  <c r="F12" i="1" s="1"/>
  <c r="G12" i="1" s="1"/>
  <c r="E13" i="1"/>
  <c r="F13" i="1" s="1"/>
  <c r="G13" i="1" s="1"/>
  <c r="M12" i="1"/>
  <c r="M13" i="1"/>
  <c r="M14" i="1"/>
  <c r="M20" i="1"/>
  <c r="M21" i="1"/>
  <c r="M22" i="1"/>
  <c r="M23" i="1"/>
  <c r="M24" i="1"/>
  <c r="M25" i="1"/>
  <c r="M26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E11" i="1"/>
  <c r="F11" i="1" s="1"/>
  <c r="G11" i="1" s="1"/>
  <c r="M11" i="1"/>
  <c r="K11" i="1"/>
  <c r="Q10" i="1"/>
  <c r="K10" i="1"/>
  <c r="M10" i="1"/>
  <c r="K3" i="1"/>
  <c r="K4" i="1"/>
  <c r="K5" i="1"/>
  <c r="K6" i="1"/>
  <c r="K7" i="1"/>
  <c r="K8" i="1"/>
  <c r="K9" i="1"/>
  <c r="K2" i="1"/>
  <c r="M9" i="1"/>
  <c r="M8" i="1"/>
  <c r="F3" i="1"/>
  <c r="G3" i="1" s="1"/>
  <c r="F4" i="1"/>
  <c r="G4" i="1" s="1"/>
  <c r="F5" i="1"/>
  <c r="G5" i="1" s="1"/>
  <c r="F6" i="1"/>
  <c r="G6" i="1" s="1"/>
  <c r="F7" i="1"/>
  <c r="G7" i="1" s="1"/>
  <c r="F10" i="1"/>
  <c r="G10" i="1" s="1"/>
  <c r="F14" i="1"/>
  <c r="G14" i="1" s="1"/>
  <c r="F20" i="1"/>
  <c r="G20" i="1" s="1"/>
  <c r="F22" i="1"/>
  <c r="G22" i="1" s="1"/>
  <c r="F23" i="1"/>
  <c r="G23" i="1" s="1"/>
  <c r="F24" i="1"/>
  <c r="G24" i="1" s="1"/>
  <c r="F25" i="1"/>
  <c r="G25" i="1" s="1"/>
  <c r="F26" i="1"/>
  <c r="G26" i="1" s="1"/>
  <c r="F36" i="1"/>
  <c r="G36" i="1" s="1"/>
  <c r="F2" i="1"/>
  <c r="G2" i="1" s="1"/>
  <c r="M7" i="1"/>
  <c r="M6" i="1"/>
</calcChain>
</file>

<file path=xl/sharedStrings.xml><?xml version="1.0" encoding="utf-8"?>
<sst xmlns="http://schemas.openxmlformats.org/spreadsheetml/2006/main" count="966" uniqueCount="204">
  <si>
    <t>Source</t>
  </si>
  <si>
    <t>Company</t>
  </si>
  <si>
    <t>Name</t>
  </si>
  <si>
    <t>Width [m]</t>
  </si>
  <si>
    <t>dji</t>
  </si>
  <si>
    <t>DJI</t>
  </si>
  <si>
    <t xml:space="preserve">Mavic 2 Enterprise Advanced
</t>
  </si>
  <si>
    <t>LiPo</t>
  </si>
  <si>
    <t>Upwards</t>
  </si>
  <si>
    <t>GPS + GLONASS</t>
  </si>
  <si>
    <t>Y</t>
  </si>
  <si>
    <t>N</t>
  </si>
  <si>
    <t>Camera + Thermal</t>
  </si>
  <si>
    <t>4K</t>
  </si>
  <si>
    <t>Mavic Air 2</t>
  </si>
  <si>
    <t>Camera</t>
  </si>
  <si>
    <t>Phantom 4 Pro V2.0</t>
  </si>
  <si>
    <t>Parrot</t>
  </si>
  <si>
    <t>ANAFI USA</t>
  </si>
  <si>
    <t>GPS + GLONASS + GALILEO</t>
  </si>
  <si>
    <t>Anafi AI</t>
  </si>
  <si>
    <t>Both</t>
  </si>
  <si>
    <t>Skydio</t>
  </si>
  <si>
    <t>Skydio X2</t>
  </si>
  <si>
    <t>GPS</t>
  </si>
  <si>
    <t>https://support.skydio.com/hc/en-us/articles/5338292379803-Comparing-Skydio-2-and-Skydio-2-</t>
  </si>
  <si>
    <t>Mavic 3 Classic</t>
  </si>
  <si>
    <t>Li-Ion</t>
  </si>
  <si>
    <t>GPS + GALILEO + BEIDOU</t>
  </si>
  <si>
    <t>5K</t>
  </si>
  <si>
    <t>https://m.dji.com/gr/product/dji-mavic-3-low-noise-propellers?view=overview</t>
  </si>
  <si>
    <t>5.4K</t>
  </si>
  <si>
    <t>https://www.d1store.com.au/products/Mavic-Air-2-Battery-Charging-Hub#:~:text=The%20Input%20Voltage%20is%208.4,minutes%20depending%20on%20the%20temperature. Kai https://m.dji.com/gr/product/dji-air-2s-low-noise-propellers</t>
  </si>
  <si>
    <t>CHEERSON</t>
  </si>
  <si>
    <t>Cheerson</t>
  </si>
  <si>
    <t>CX-20</t>
  </si>
  <si>
    <t>https://dronepedia.xyz/cheerson-cx-20-review/ + https://dronemanya.com/en/post/review-of-the-cheerson-cx-20-auto-pathfinder-quadrocopter + https://www.ebay.com/itm/364060914773</t>
  </si>
  <si>
    <t>CX-22</t>
  </si>
  <si>
    <t>https://drone-market.net/ + https://www.ebay.com/itm/364060914773</t>
  </si>
  <si>
    <t>HobbyKing</t>
  </si>
  <si>
    <t>Cheerson CX-32S</t>
  </si>
  <si>
    <t>4X Cheerson CX-32 CX-32C CX-32S CX-32W RC Quadcopter Spare Parts Propellers US 629824189434 | eBay</t>
  </si>
  <si>
    <t>UDIRC</t>
  </si>
  <si>
    <t>U43S</t>
  </si>
  <si>
    <t>U62S</t>
  </si>
  <si>
    <t>2K</t>
  </si>
  <si>
    <t>U89S</t>
  </si>
  <si>
    <t>U92</t>
  </si>
  <si>
    <t>U62</t>
  </si>
  <si>
    <t>HolyStone</t>
  </si>
  <si>
    <t>HS700E</t>
  </si>
  <si>
    <t>HS720G</t>
  </si>
  <si>
    <t>HS175D</t>
  </si>
  <si>
    <t>https://www.amazon.com/Rechargable-Li-po-Battery-1700mah-HS175D/dp/B08VN6K11Y</t>
  </si>
  <si>
    <t>HS720</t>
  </si>
  <si>
    <t>https://www.alibaba.com/product-detail/3-7v-coreless-motor-8620-for_60578641743.html</t>
  </si>
  <si>
    <t>HS110G</t>
  </si>
  <si>
    <t>HS440</t>
  </si>
  <si>
    <t>HS280</t>
  </si>
  <si>
    <t>Hubsan</t>
  </si>
  <si>
    <t>Ace Pro Refined</t>
  </si>
  <si>
    <t>ZINO MINI PRO REFINED</t>
  </si>
  <si>
    <t>ACE SE REFINED</t>
  </si>
  <si>
    <t>Hubsan ACE Standard</t>
  </si>
  <si>
    <t>Hubsan Ace PRO</t>
  </si>
  <si>
    <t>Hubsan ACE SE</t>
  </si>
  <si>
    <t>Hubsan ZINO MINI PRO</t>
  </si>
  <si>
    <t>Hubsan ZINO MINI SE STD</t>
  </si>
  <si>
    <t>Hubsan ZINO Pro Plus STD</t>
  </si>
  <si>
    <t>XAG</t>
  </si>
  <si>
    <t>Xmission</t>
  </si>
  <si>
    <t>X2E Color</t>
  </si>
  <si>
    <t>Skydio Battery for Skydio X2 Drone SKYX2BAT100NA - Adorama</t>
  </si>
  <si>
    <t>HSE-UAV</t>
  </si>
  <si>
    <t>XAG M500</t>
  </si>
  <si>
    <t>GPS + GLONASS + GALILEO + BEIDOU</t>
  </si>
  <si>
    <t>6K</t>
  </si>
  <si>
    <t>XAG M500 spec (cdn-website.com)</t>
  </si>
  <si>
    <t>MINI 3</t>
  </si>
  <si>
    <t>MINI 3 PRO</t>
  </si>
  <si>
    <t>AVATA</t>
  </si>
  <si>
    <t>Mavic 3 Enterprise</t>
  </si>
  <si>
    <t>GPS + GALILEO + BEIDOU + GLONASS</t>
  </si>
  <si>
    <t>P4 Multispectral</t>
  </si>
  <si>
    <t>Camera + Solar</t>
  </si>
  <si>
    <t>exo</t>
  </si>
  <si>
    <t>EXO</t>
  </si>
  <si>
    <t>EXO X7 Ranger Plus</t>
  </si>
  <si>
    <t>EXO Cinemaster 2</t>
  </si>
  <si>
    <t>Ν</t>
  </si>
  <si>
    <t>Υ</t>
  </si>
  <si>
    <t>4Κ</t>
  </si>
  <si>
    <t>EXO Scout</t>
  </si>
  <si>
    <t>EXO Recon</t>
  </si>
  <si>
    <t>EXO Blackhawk 2 Pro</t>
  </si>
  <si>
    <t>GPS + BEIDOU + GLONASS</t>
  </si>
  <si>
    <t>EXO Mini Pro</t>
  </si>
  <si>
    <t>XDYNAMICS</t>
  </si>
  <si>
    <t>Evolve 2</t>
  </si>
  <si>
    <t>https://consortiq.com/uas-resources/evolving-the-drone-what-to-know-about-the-xdynamics-evolve-2</t>
  </si>
  <si>
    <t>FIMI</t>
  </si>
  <si>
    <t>FIMI X8 Pro</t>
  </si>
  <si>
    <t>FIMI X8 MINI v2</t>
  </si>
  <si>
    <t>FIMI X8SE 2022 V2</t>
  </si>
  <si>
    <t>FIMI X8SE 2020</t>
  </si>
  <si>
    <t>FIMI Mi Drone 4k</t>
  </si>
  <si>
    <t>DJI Spark vs Xiaomi Mi 4K Drone - el Producente</t>
  </si>
  <si>
    <t>FIMI A3</t>
  </si>
  <si>
    <t>BETAFPV</t>
  </si>
  <si>
    <t>TWIG XL FPV Toothpick</t>
  </si>
  <si>
    <t>Happymodel 2.4G ExpressLRS ELRS EP1 Nano High Refresh Rate Ultra-small (ariesrc.gr)</t>
  </si>
  <si>
    <t>TWIG Mutant 4"</t>
  </si>
  <si>
    <t>Teal</t>
  </si>
  <si>
    <t>Teal 2</t>
  </si>
  <si>
    <t>https://tealdrones.com/wp-content/uploads/2023/06/60083-MK1.5-Operator-Manual-REV-A.pdf</t>
  </si>
  <si>
    <t>AUTEL</t>
  </si>
  <si>
    <t>EVO Nano+</t>
  </si>
  <si>
    <t>GPS + GALILEO + GLONASS</t>
  </si>
  <si>
    <t>https://shop.autelrobotics.com/collections/autel-evo-nano-series-accessories/products/evo-nano-series-propellers</t>
  </si>
  <si>
    <t>Autel Evo Nano+ Review: A True DJI Competitor - Tech Advisor</t>
  </si>
  <si>
    <t>EVO Lite+</t>
  </si>
  <si>
    <t>Autel RC Battery LiPo 6175 mAh 11.1 V EVO Lite, White (11.10 V, 6175 mAh) - digitec</t>
  </si>
  <si>
    <t>EVO II Pro 6K Rugged V2</t>
  </si>
  <si>
    <t>EVO II Dual 640T</t>
  </si>
  <si>
    <t>8K</t>
  </si>
  <si>
    <t>EVO II Dual 640T Enterprise V2</t>
  </si>
  <si>
    <t>Autel Robotics EVO II Dual 640T Enterprise Bundle V2 | Autelpilot</t>
  </si>
  <si>
    <t>EVO II Pro RTK V2</t>
  </si>
  <si>
    <t>CFLY</t>
  </si>
  <si>
    <t>ARNO SE</t>
  </si>
  <si>
    <t>RUKO</t>
  </si>
  <si>
    <t>F11GIM2</t>
  </si>
  <si>
    <t>Ruko F11 GIM2 4K drone with 3km range | Full review - The Technology Man</t>
  </si>
  <si>
    <t>Specifications - RUKO F11 GIM Manual [Page 23] | ManualsLib</t>
  </si>
  <si>
    <t>U95 RAGE PRO</t>
  </si>
  <si>
    <t>HS360</t>
  </si>
  <si>
    <t>HS720E</t>
  </si>
  <si>
    <t>HS710</t>
  </si>
  <si>
    <t>SJRC</t>
  </si>
  <si>
    <t>F11S</t>
  </si>
  <si>
    <t>Potensic</t>
  </si>
  <si>
    <t>ATOM SE</t>
  </si>
  <si>
    <t>Dreamer Pro</t>
  </si>
  <si>
    <t>Dreamer 4K</t>
  </si>
  <si>
    <t>2.7K</t>
  </si>
  <si>
    <t>Mavic 3 Pro</t>
  </si>
  <si>
    <t>Mavic 2 Pro</t>
  </si>
  <si>
    <t xml:space="preserve">5K </t>
  </si>
  <si>
    <t>Mavic Pro</t>
  </si>
  <si>
    <t>Air 2S</t>
  </si>
  <si>
    <t>MAVIC AIR</t>
  </si>
  <si>
    <t>MINI 2 SE</t>
  </si>
  <si>
    <t>Vantage</t>
  </si>
  <si>
    <t>Vesper</t>
  </si>
  <si>
    <t>Vesper-and-Vision-Manual-1_11_21_b.pdf (vantagerobotics.com)</t>
  </si>
  <si>
    <t>F11PRO</t>
  </si>
  <si>
    <t>https://productz.com/en/cheerson-cx-20/p/22bP</t>
  </si>
  <si>
    <t>Walkera</t>
  </si>
  <si>
    <t>T210</t>
  </si>
  <si>
    <t>GPS + GLONASS + BEIDOU</t>
  </si>
  <si>
    <t>R500 RTK</t>
  </si>
  <si>
    <t>Powervision</t>
  </si>
  <si>
    <t>Poweregg X Explorer</t>
  </si>
  <si>
    <t>DJI Mavic Pro In-Depth Review | DC Rainmaker</t>
  </si>
  <si>
    <t>https://www.google.gr/search?hl=el&amp;q=holy+stone+%22HS720G%22+%22max+speed%22&amp;sa=X&amp;ved=2ahUKEwiM0tjEvp2AAxVrc_EDHVRYBPoQ5t4CegQINxAB&amp;biw=1920&amp;bih=896&amp;dpr=1</t>
  </si>
  <si>
    <t>https://www.gadgetreview.com/holy-stone-hs720-review</t>
  </si>
  <si>
    <t>https://mydroneprofessional.com/holy-stone-hs720e-review-pros-and-cons/</t>
  </si>
  <si>
    <t>https://udirc.com/wp-content/uploads/U62guide.pdf</t>
  </si>
  <si>
    <t>Props_Diameter_[in]</t>
  </si>
  <si>
    <t>Prop_Area_[ft2]</t>
  </si>
  <si>
    <t>Length_[mm]</t>
  </si>
  <si>
    <t>Height_[mm]</t>
  </si>
  <si>
    <t>Width_[mm]</t>
  </si>
  <si>
    <t>Diagonal_[mm]</t>
  </si>
  <si>
    <t>MTOW_[gr]</t>
  </si>
  <si>
    <t>Flight_Time_[min]</t>
  </si>
  <si>
    <t>RC_Range_[m]</t>
  </si>
  <si>
    <t>Ceiling_[m]</t>
  </si>
  <si>
    <t>Disk_Loading_[gr_ft2]</t>
  </si>
  <si>
    <t>Max_Speed_[m_s]</t>
  </si>
  <si>
    <t>Ascend_Speed_[m_s]</t>
  </si>
  <si>
    <t>Descend_speed_[m_s]</t>
  </si>
  <si>
    <t>Max_Wind_Speed_[m/s]</t>
  </si>
  <si>
    <t>Battery_Type</t>
  </si>
  <si>
    <t>Battery_W_[gr]</t>
  </si>
  <si>
    <t>Battery_Cells</t>
  </si>
  <si>
    <t>Battery_Capacity_[mAh]</t>
  </si>
  <si>
    <t>No_of_Batteries</t>
  </si>
  <si>
    <t>Charging_Time_[min]</t>
  </si>
  <si>
    <t>GPS_type</t>
  </si>
  <si>
    <t>Indoor_Capability</t>
  </si>
  <si>
    <t>Folding_Arms</t>
  </si>
  <si>
    <t>Payload_Type</t>
  </si>
  <si>
    <t>Camera_Video_Resolution</t>
  </si>
  <si>
    <t>Extra_Sources</t>
  </si>
  <si>
    <t>A_A</t>
  </si>
  <si>
    <t>Motors_Positioning</t>
  </si>
  <si>
    <t>Obstacle_Avoidance</t>
  </si>
  <si>
    <t>Ruko F11 PRO Review 2023 (Everything You Should Know) (droneller.com)</t>
  </si>
  <si>
    <t>Holy Stone 1 x replacement battery for FPV drone HS280: Amazon.de: Toys</t>
  </si>
  <si>
    <t>B6130 XAG M500 2020 Smart Battery | XAG Australia</t>
  </si>
  <si>
    <t>Xiaomi Mi 4K Drone Intelligent Battery 5100mAh For fimi / 1080P RC Drone With Gold white grey Button at Rs 18999 in Delhi (indiamart.com)</t>
  </si>
  <si>
    <t>Battery_Energy_[Wh]</t>
  </si>
  <si>
    <t>Volume_[cm3]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</si>
</sst>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i/>
      <sz val="11"/>
      <color rgb="FF3F3F76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1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u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2" applyAlignment="1">
      <alignment horizontal="center" vertical="center"/>
    </xf>
    <xf numFmtId="0" fontId="5" fillId="0" borderId="0" xfId="2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2" applyFill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0" xfId="2" applyFont="1"/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</cellXfs>
  <cellStyles count="3">
    <cellStyle name="Hyperlink" xfId="2" builtinId="8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3059FA-CF74-467F-82C7-E4D176DEDBC0}">
  <we:reference id="135565c1-a7e4-41ef-a151-04725413e45f" version="2.0.0.0" store="EXCatalog" storeType="EXCatalog"/>
  <we:alternateReferences>
    <we:reference id="WA200005669" version="2.0.0.0" store="el-GR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olystone.com/en/Drones/Premium/HS720G.html" TargetMode="External"/><Relationship Id="rId21" Type="http://schemas.openxmlformats.org/officeDocument/2006/relationships/hyperlink" Target="https://udirc.com/portfolio/u62s/" TargetMode="External"/><Relationship Id="rId42" Type="http://schemas.openxmlformats.org/officeDocument/2006/relationships/hyperlink" Target="https://www.hubsan.com/na/index.php?main_page=product_info&amp;products_id=1060" TargetMode="External"/><Relationship Id="rId47" Type="http://schemas.openxmlformats.org/officeDocument/2006/relationships/hyperlink" Target="https://irp.cdn-website.com/c042aad1/files/uploaded/XAG%20M500%20spec.pdf" TargetMode="External"/><Relationship Id="rId63" Type="http://schemas.openxmlformats.org/officeDocument/2006/relationships/hyperlink" Target="https://www.fimi.com/fimi-x8-se-2022.html" TargetMode="External"/><Relationship Id="rId68" Type="http://schemas.openxmlformats.org/officeDocument/2006/relationships/hyperlink" Target="https://betafpv.com/collections/all-drone/products/twig-xl-fpv-quad" TargetMode="External"/><Relationship Id="rId84" Type="http://schemas.openxmlformats.org/officeDocument/2006/relationships/hyperlink" Target="https://thetechnologyman.com/ruko-f11-gim2-4k-drone-with-3km-range-full-review/" TargetMode="External"/><Relationship Id="rId89" Type="http://schemas.openxmlformats.org/officeDocument/2006/relationships/hyperlink" Target="https://www.holystone.com/en/Drones/Premium/HS720E.html" TargetMode="External"/><Relationship Id="rId16" Type="http://schemas.openxmlformats.org/officeDocument/2006/relationships/hyperlink" Target="https://drone-market.net/product/cheerson-cx22-drone-best-price/" TargetMode="External"/><Relationship Id="rId107" Type="http://schemas.openxmlformats.org/officeDocument/2006/relationships/hyperlink" Target="https://www.amazon.de/-/en/Stone-replacement-battery-drone-HS280/dp/B0B4NWHH7L" TargetMode="External"/><Relationship Id="rId11" Type="http://schemas.openxmlformats.org/officeDocument/2006/relationships/hyperlink" Target="https://m.dji.com/gr/product/dji-mavic-3-low-noise-propellers?view=overview" TargetMode="External"/><Relationship Id="rId32" Type="http://schemas.openxmlformats.org/officeDocument/2006/relationships/hyperlink" Target="https://www.holystone.com/en/Drones/Beginner/HS440.html" TargetMode="External"/><Relationship Id="rId37" Type="http://schemas.openxmlformats.org/officeDocument/2006/relationships/hyperlink" Target="https://www.hubsan.com/na/index.php?main_page=product_info&amp;products_id=1354&amp;zenid=snc7rid99f6mt1dd3kageh66i1" TargetMode="External"/><Relationship Id="rId53" Type="http://schemas.openxmlformats.org/officeDocument/2006/relationships/hyperlink" Target="https://exodrones.com/pages/shop" TargetMode="External"/><Relationship Id="rId58" Type="http://schemas.openxmlformats.org/officeDocument/2006/relationships/hyperlink" Target="https://exodrones.com/products/exo-mini-pro" TargetMode="External"/><Relationship Id="rId74" Type="http://schemas.openxmlformats.org/officeDocument/2006/relationships/hyperlink" Target="https://shop.autelrobotics.com/collections/autel-evo-nano-series-accessories/products/evo-nano-series-propellers" TargetMode="External"/><Relationship Id="rId79" Type="http://schemas.openxmlformats.org/officeDocument/2006/relationships/hyperlink" Target="https://shop.autelrobotics.com/collections/autel-evo-ii-series/products/drones-evo-ii-dual-640t" TargetMode="External"/><Relationship Id="rId102" Type="http://schemas.openxmlformats.org/officeDocument/2006/relationships/hyperlink" Target="http://en.walkera.com/index.php?id=1992&amp;project=product&amp;cateid=611" TargetMode="External"/><Relationship Id="rId5" Type="http://schemas.openxmlformats.org/officeDocument/2006/relationships/hyperlink" Target="https://www.parrot.com/assets/s3fs-public/2023-02/ANAFI-USA-product-sheet.pdf" TargetMode="External"/><Relationship Id="rId90" Type="http://schemas.openxmlformats.org/officeDocument/2006/relationships/hyperlink" Target="https://www.holystone.com/en/Drones/Premium/HS710.html" TargetMode="External"/><Relationship Id="rId95" Type="http://schemas.openxmlformats.org/officeDocument/2006/relationships/hyperlink" Target="https://www.dji.com/gr/mavic-3-pro/specs" TargetMode="External"/><Relationship Id="rId22" Type="http://schemas.openxmlformats.org/officeDocument/2006/relationships/hyperlink" Target="https://udirc.com/portfolio/u89s/" TargetMode="External"/><Relationship Id="rId27" Type="http://schemas.openxmlformats.org/officeDocument/2006/relationships/hyperlink" Target="https://www.holystone.com/en/Drones/Premium/HS175D.html" TargetMode="External"/><Relationship Id="rId43" Type="http://schemas.openxmlformats.org/officeDocument/2006/relationships/hyperlink" Target="https://www.xagaustralia.com.au/xmissionspecs" TargetMode="External"/><Relationship Id="rId48" Type="http://schemas.openxmlformats.org/officeDocument/2006/relationships/hyperlink" Target="https://www.dji.com/gr/mavic-3?site=brandsite&amp;from=nav" TargetMode="External"/><Relationship Id="rId64" Type="http://schemas.openxmlformats.org/officeDocument/2006/relationships/hyperlink" Target="https://www.fimi.com/fimi-x8-se.html" TargetMode="External"/><Relationship Id="rId69" Type="http://schemas.openxmlformats.org/officeDocument/2006/relationships/hyperlink" Target="https://www.ariesrc.gr/gr/happymodel/19610-appymodel-24g-expresslrs-elrs-ep1-nano-high-refresh-rate-ultra-small-long-range-rc-receiver-for-rc-drone.html" TargetMode="External"/><Relationship Id="rId80" Type="http://schemas.openxmlformats.org/officeDocument/2006/relationships/hyperlink" Target="https://shop.autelrobotics.com/collections/autel-evo-ii-series/products/evo-ii-dual-640t-enterprise-v2" TargetMode="External"/><Relationship Id="rId85" Type="http://schemas.openxmlformats.org/officeDocument/2006/relationships/hyperlink" Target="https://www.manualslib.com/manual/2209712/Ruko-F11-Gim.html?page=23" TargetMode="External"/><Relationship Id="rId12" Type="http://schemas.openxmlformats.org/officeDocument/2006/relationships/hyperlink" Target="https://www.dji.com/gr/air-2s/specs" TargetMode="External"/><Relationship Id="rId17" Type="http://schemas.openxmlformats.org/officeDocument/2006/relationships/hyperlink" Target="https://drone-market.net/" TargetMode="External"/><Relationship Id="rId33" Type="http://schemas.openxmlformats.org/officeDocument/2006/relationships/hyperlink" Target="https://www.holystone.com/en/Drones/Beginner/HS280.html" TargetMode="External"/><Relationship Id="rId38" Type="http://schemas.openxmlformats.org/officeDocument/2006/relationships/hyperlink" Target="https://www.hubsan.com/na/index.php?main_page=product_info&amp;products_id=1357&amp;zenid=snc7rid99f6mt1dd3kageh66i1" TargetMode="External"/><Relationship Id="rId59" Type="http://schemas.openxmlformats.org/officeDocument/2006/relationships/hyperlink" Target="https://shop.xdynamics.com/collections/frontpage/products/evolve2-rtf-pack" TargetMode="External"/><Relationship Id="rId103" Type="http://schemas.openxmlformats.org/officeDocument/2006/relationships/hyperlink" Target="http://en.walkera.com/index.php?id=1912&amp;project=product&amp;cateid=611" TargetMode="External"/><Relationship Id="rId108" Type="http://schemas.openxmlformats.org/officeDocument/2006/relationships/hyperlink" Target="https://www.xagaustralia.com.au/product-page/09-017-00009" TargetMode="External"/><Relationship Id="rId54" Type="http://schemas.openxmlformats.org/officeDocument/2006/relationships/hyperlink" Target="https://exodrones.com/products/cinemaster-2" TargetMode="External"/><Relationship Id="rId70" Type="http://schemas.openxmlformats.org/officeDocument/2006/relationships/hyperlink" Target="https://betafpv.com/collections/all-drone/products/twig-mutant-4-toothpick-quad" TargetMode="External"/><Relationship Id="rId75" Type="http://schemas.openxmlformats.org/officeDocument/2006/relationships/hyperlink" Target="https://www.techadvisor.com/article/1476044/autel-evo-nano-plus-review.html" TargetMode="External"/><Relationship Id="rId91" Type="http://schemas.openxmlformats.org/officeDocument/2006/relationships/hyperlink" Target="https://www.sjrcdrone.com/shop/sjrc-f11s-4k-pro-video-camera-drone-professional-gps-2axis/" TargetMode="External"/><Relationship Id="rId96" Type="http://schemas.openxmlformats.org/officeDocument/2006/relationships/hyperlink" Target="https://www.dji.com/gr/mavic/info" TargetMode="External"/><Relationship Id="rId1" Type="http://schemas.openxmlformats.org/officeDocument/2006/relationships/hyperlink" Target="https://www.dji.com/gr/mavic-2-enterprise-advanced/specs" TargetMode="External"/><Relationship Id="rId6" Type="http://schemas.openxmlformats.org/officeDocument/2006/relationships/hyperlink" Target="https://www.parrot.com/assets/s3fs-public/2023-02/ANAFI-Ai-product-sheet.pdf" TargetMode="External"/><Relationship Id="rId15" Type="http://schemas.openxmlformats.org/officeDocument/2006/relationships/hyperlink" Target="https://dronepedia.xyz/cheerson-cx-20-review/" TargetMode="External"/><Relationship Id="rId23" Type="http://schemas.openxmlformats.org/officeDocument/2006/relationships/hyperlink" Target="https://udirc.com/portfolio/u92/" TargetMode="External"/><Relationship Id="rId28" Type="http://schemas.openxmlformats.org/officeDocument/2006/relationships/hyperlink" Target="https://www.amazon.com/Rechargable-Li-po-Battery-1700mah-HS175D/dp/B08VN6K11Y" TargetMode="External"/><Relationship Id="rId36" Type="http://schemas.openxmlformats.org/officeDocument/2006/relationships/hyperlink" Target="https://www.hubsan.com/na/index.php?main_page=product_info&amp;products_id=1393&amp;zenid=snc7rid99f6mt1dd3kageh66i1" TargetMode="External"/><Relationship Id="rId49" Type="http://schemas.openxmlformats.org/officeDocument/2006/relationships/hyperlink" Target="https://www.dji.com/gr/mini-3-pro/specs" TargetMode="External"/><Relationship Id="rId57" Type="http://schemas.openxmlformats.org/officeDocument/2006/relationships/hyperlink" Target="https://exodrones.com/products/blackhawk-2-pro" TargetMode="External"/><Relationship Id="rId106" Type="http://schemas.openxmlformats.org/officeDocument/2006/relationships/hyperlink" Target="https://www.droneller.com/blog/ruko-f11-pro-review/" TargetMode="External"/><Relationship Id="rId10" Type="http://schemas.openxmlformats.org/officeDocument/2006/relationships/hyperlink" Target="https://www.dji.com/gr/mavic-3-classic/specs" TargetMode="External"/><Relationship Id="rId31" Type="http://schemas.openxmlformats.org/officeDocument/2006/relationships/hyperlink" Target="https://www.holystone.com/en/Drones/Advanced/HS110G.html" TargetMode="External"/><Relationship Id="rId44" Type="http://schemas.openxmlformats.org/officeDocument/2006/relationships/hyperlink" Target="https://pages.skydio.com/rs/784-TUF-591/images/skydio-x2e-color-datasheet.pdf" TargetMode="External"/><Relationship Id="rId52" Type="http://schemas.openxmlformats.org/officeDocument/2006/relationships/hyperlink" Target="https://www.dji.com/gr/p4-multispectral/specs" TargetMode="External"/><Relationship Id="rId60" Type="http://schemas.openxmlformats.org/officeDocument/2006/relationships/hyperlink" Target="https://consortiq.com/uas-resources/evolving-the-drone-what-to-know-about-the-xdynamics-evolve-2" TargetMode="External"/><Relationship Id="rId65" Type="http://schemas.openxmlformats.org/officeDocument/2006/relationships/hyperlink" Target="https://www.fimi.com/mi-drone-4k.html" TargetMode="External"/><Relationship Id="rId73" Type="http://schemas.openxmlformats.org/officeDocument/2006/relationships/hyperlink" Target="https://shop.autelrobotics.com/collections/autel-evo-nano-series/products/drones-evo-nano-plus" TargetMode="External"/><Relationship Id="rId78" Type="http://schemas.openxmlformats.org/officeDocument/2006/relationships/hyperlink" Target="https://shop.autelrobotics.com/collections/autel-evo-ii-series/products/evo-ii-pro-v3-rugged-bundle-1" TargetMode="External"/><Relationship Id="rId81" Type="http://schemas.openxmlformats.org/officeDocument/2006/relationships/hyperlink" Target="https://www.autelpilot.com/products/evo-ii-dual-640t-v2-with-enterprise-rugged-bundle" TargetMode="External"/><Relationship Id="rId86" Type="http://schemas.openxmlformats.org/officeDocument/2006/relationships/hyperlink" Target="https://www.ruko.net/collections/camera-drones/products/ruko-f11gim2?variant=43095129882793" TargetMode="External"/><Relationship Id="rId94" Type="http://schemas.openxmlformats.org/officeDocument/2006/relationships/hyperlink" Target="https://www.potensic.com/dreamer-4K-specs" TargetMode="External"/><Relationship Id="rId99" Type="http://schemas.openxmlformats.org/officeDocument/2006/relationships/hyperlink" Target="https://vantagerobotics.com/vesper/" TargetMode="External"/><Relationship Id="rId101" Type="http://schemas.openxmlformats.org/officeDocument/2006/relationships/hyperlink" Target="https://rukotoy.com/params/product/drone-f11pro" TargetMode="External"/><Relationship Id="rId4" Type="http://schemas.openxmlformats.org/officeDocument/2006/relationships/hyperlink" Target="https://www.dji.com/gr/phantom-4-pro-v2/specs" TargetMode="External"/><Relationship Id="rId9" Type="http://schemas.openxmlformats.org/officeDocument/2006/relationships/hyperlink" Target="https://support.skydio.com/hc/en-us/articles/5338292379803-Comparing-Skydio-2-and-Skydio-2-" TargetMode="External"/><Relationship Id="rId13" Type="http://schemas.openxmlformats.org/officeDocument/2006/relationships/hyperlink" Target="https://www.d1store.com.au/products/Mavic-Air-2-Battery-Charging-Hub" TargetMode="External"/><Relationship Id="rId18" Type="http://schemas.openxmlformats.org/officeDocument/2006/relationships/hyperlink" Target="https://hobbyking.com/en_us/cheerson-cx-32s-2-4-ghz-quad-w-2mp-hd-camera-fpv-screen-and-mode-switchable-transmitter-rtf.html?___store=en_us" TargetMode="External"/><Relationship Id="rId39" Type="http://schemas.openxmlformats.org/officeDocument/2006/relationships/hyperlink" Target="https://www.hubsan.com/na/index.php?main_page=product_info&amp;cPath=79&amp;products_id=1351" TargetMode="External"/><Relationship Id="rId109" Type="http://schemas.openxmlformats.org/officeDocument/2006/relationships/hyperlink" Target="https://www.indiamart.com/proddetail/xiaomi-mi-4k-drone-intelligent-battery-5100mah-for-fimi-1080p-rc-drone-with-gold-white-grey-button-25432843055.html" TargetMode="External"/><Relationship Id="rId34" Type="http://schemas.openxmlformats.org/officeDocument/2006/relationships/hyperlink" Target="https://www.hubsan.com/na/index.php?main_page=product_info&amp;products_id=1403&amp;zenid=snc7rid99f6mt1dd3kageh66i1" TargetMode="External"/><Relationship Id="rId50" Type="http://schemas.openxmlformats.org/officeDocument/2006/relationships/hyperlink" Target="https://www.dji.com/gr/avata/specs" TargetMode="External"/><Relationship Id="rId55" Type="http://schemas.openxmlformats.org/officeDocument/2006/relationships/hyperlink" Target="https://exodrones.com/products/exo-scout" TargetMode="External"/><Relationship Id="rId76" Type="http://schemas.openxmlformats.org/officeDocument/2006/relationships/hyperlink" Target="https://shop.autelrobotics.com/collections/autel-evo-lite-series/products/drones-evo-lite-plus" TargetMode="External"/><Relationship Id="rId97" Type="http://schemas.openxmlformats.org/officeDocument/2006/relationships/hyperlink" Target="https://www.dji.com/gr/mavic-air" TargetMode="External"/><Relationship Id="rId104" Type="http://schemas.openxmlformats.org/officeDocument/2006/relationships/hyperlink" Target="https://store.eu.powervision.me/products/powereggx" TargetMode="External"/><Relationship Id="rId7" Type="http://schemas.openxmlformats.org/officeDocument/2006/relationships/hyperlink" Target="https://pages.skydio.com/rs/784-TUF-591/images/skydio-x2e-color-datasheet.pdf" TargetMode="External"/><Relationship Id="rId71" Type="http://schemas.openxmlformats.org/officeDocument/2006/relationships/hyperlink" Target="https://tealdrones.com/solutions/aircraft/" TargetMode="External"/><Relationship Id="rId92" Type="http://schemas.openxmlformats.org/officeDocument/2006/relationships/hyperlink" Target="https://www.potensic.com/atom-se" TargetMode="External"/><Relationship Id="rId2" Type="http://schemas.openxmlformats.org/officeDocument/2006/relationships/hyperlink" Target="https://www.dji.com/gr/mavic-2/info" TargetMode="External"/><Relationship Id="rId29" Type="http://schemas.openxmlformats.org/officeDocument/2006/relationships/hyperlink" Target="https://www.holystone.com/en/Drones/Premium/HS720.html" TargetMode="External"/><Relationship Id="rId24" Type="http://schemas.openxmlformats.org/officeDocument/2006/relationships/hyperlink" Target="https://udirc.com/portfolio/u62/" TargetMode="External"/><Relationship Id="rId40" Type="http://schemas.openxmlformats.org/officeDocument/2006/relationships/hyperlink" Target="https://www.hubsan.com/na/index.php?main_page=product_info&amp;cPath=79&amp;products_id=1266" TargetMode="External"/><Relationship Id="rId45" Type="http://schemas.openxmlformats.org/officeDocument/2006/relationships/hyperlink" Target="https://www.adorama.com/skyx2bat100.html" TargetMode="External"/><Relationship Id="rId66" Type="http://schemas.openxmlformats.org/officeDocument/2006/relationships/hyperlink" Target="http://elproducente.com/dji-spark-vs-xiaomi-mi-4k-drone-comparison-review/" TargetMode="External"/><Relationship Id="rId87" Type="http://schemas.openxmlformats.org/officeDocument/2006/relationships/hyperlink" Target="https://udirc.com/portfolio/u95/" TargetMode="External"/><Relationship Id="rId110" Type="http://schemas.openxmlformats.org/officeDocument/2006/relationships/printerSettings" Target="../printerSettings/printerSettings1.bin"/><Relationship Id="rId61" Type="http://schemas.openxmlformats.org/officeDocument/2006/relationships/hyperlink" Target="https://www.fimi.com/fimi-x8-pro.html" TargetMode="External"/><Relationship Id="rId82" Type="http://schemas.openxmlformats.org/officeDocument/2006/relationships/hyperlink" Target="https://shop.autelrobotics.com/collections/autel-evo-ii-series/products/evo-ii-pro-rtk-v2" TargetMode="External"/><Relationship Id="rId19" Type="http://schemas.openxmlformats.org/officeDocument/2006/relationships/hyperlink" Target="https://www.ebay.com/itm/364060914773" TargetMode="External"/><Relationship Id="rId14" Type="http://schemas.openxmlformats.org/officeDocument/2006/relationships/hyperlink" Target="http://www.cheerson.it/index.php?id_product=1&amp;controller=product" TargetMode="External"/><Relationship Id="rId30" Type="http://schemas.openxmlformats.org/officeDocument/2006/relationships/hyperlink" Target="https://www.alibaba.com/product-detail/3-7v-coreless-motor-8620-for_60578641743.html" TargetMode="External"/><Relationship Id="rId35" Type="http://schemas.openxmlformats.org/officeDocument/2006/relationships/hyperlink" Target="https://www.hubsan.com/na/index.php?main_page=product_info&amp;products_id=1396&amp;zenid=snc7rid99f6mt1dd3kageh66i1" TargetMode="External"/><Relationship Id="rId56" Type="http://schemas.openxmlformats.org/officeDocument/2006/relationships/hyperlink" Target="https://exodrones.com/products/exo-recon-drone" TargetMode="External"/><Relationship Id="rId77" Type="http://schemas.openxmlformats.org/officeDocument/2006/relationships/hyperlink" Target="https://www.digitec.ch/en/s1/product/autel-rc-battery-lipo-6175-mah-111-v-evo-lite-white-1110-v-6175-mah-rc-batteries-19983653" TargetMode="External"/><Relationship Id="rId100" Type="http://schemas.openxmlformats.org/officeDocument/2006/relationships/hyperlink" Target="https://vantagerobotics.com/wp-content/uploads/2021/01/Vesper-and-Vision-Manual-1_11_21_b.pdf" TargetMode="External"/><Relationship Id="rId105" Type="http://schemas.openxmlformats.org/officeDocument/2006/relationships/hyperlink" Target="https://www.dcrainmaker.com/2016/12/dji-mavic-pro-in-depth-review.html" TargetMode="External"/><Relationship Id="rId8" Type="http://schemas.openxmlformats.org/officeDocument/2006/relationships/hyperlink" Target="https://www.skydio.com/skydio-2-plus" TargetMode="External"/><Relationship Id="rId51" Type="http://schemas.openxmlformats.org/officeDocument/2006/relationships/hyperlink" Target="https://enterprise.dji.com/mavic-3-enterprise/specs" TargetMode="External"/><Relationship Id="rId72" Type="http://schemas.openxmlformats.org/officeDocument/2006/relationships/hyperlink" Target="https://tealdrones.com/wp-content/uploads/2023/06/60083-MK1.5-Operator-Manual-REV-A.pdf" TargetMode="External"/><Relationship Id="rId93" Type="http://schemas.openxmlformats.org/officeDocument/2006/relationships/hyperlink" Target="https://www.potensic.com/dreamer-pro" TargetMode="External"/><Relationship Id="rId98" Type="http://schemas.openxmlformats.org/officeDocument/2006/relationships/hyperlink" Target="https://www.dji.com/gr/mini-2-se/specs" TargetMode="External"/><Relationship Id="rId3" Type="http://schemas.openxmlformats.org/officeDocument/2006/relationships/hyperlink" Target="https://www.dji.com/gr/mavic-air-2/specs" TargetMode="External"/><Relationship Id="rId25" Type="http://schemas.openxmlformats.org/officeDocument/2006/relationships/hyperlink" Target="https://www.holystone.com/en/Drones/Premium/HS700E4KEIS.html" TargetMode="External"/><Relationship Id="rId46" Type="http://schemas.openxmlformats.org/officeDocument/2006/relationships/hyperlink" Target="https://hse-uav.com/products/xag-m500" TargetMode="External"/><Relationship Id="rId67" Type="http://schemas.openxmlformats.org/officeDocument/2006/relationships/hyperlink" Target="https://www.fimi.com/fimi-a3.html" TargetMode="External"/><Relationship Id="rId20" Type="http://schemas.openxmlformats.org/officeDocument/2006/relationships/hyperlink" Target="https://udirc.com/portfolio/u43s/" TargetMode="External"/><Relationship Id="rId41" Type="http://schemas.openxmlformats.org/officeDocument/2006/relationships/hyperlink" Target="https://www.hubsan.com/na/index.php?main_page=product_info&amp;cPath=%2079%20&amp;products_id=1279" TargetMode="External"/><Relationship Id="rId62" Type="http://schemas.openxmlformats.org/officeDocument/2006/relationships/hyperlink" Target="https://www.fimi.com/fimi-x8-mini.html" TargetMode="External"/><Relationship Id="rId83" Type="http://schemas.openxmlformats.org/officeDocument/2006/relationships/hyperlink" Target="http://www.cfly-cn.com/Product/1157.html" TargetMode="External"/><Relationship Id="rId88" Type="http://schemas.openxmlformats.org/officeDocument/2006/relationships/hyperlink" Target="https://www.holystone.com/en/Drones/Premium/HS360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"/>
  <sheetViews>
    <sheetView tabSelected="1" zoomScale="87" zoomScaleNormal="87" workbookViewId="0">
      <pane ySplit="1" topLeftCell="A44" activePane="bottomLeft" state="frozen"/>
      <selection pane="bottomLeft" activeCell="L4" sqref="L4"/>
    </sheetView>
  </sheetViews>
  <sheetFormatPr defaultColWidth="9.140625" defaultRowHeight="15" x14ac:dyDescent="0.25"/>
  <cols>
    <col min="1" max="1" width="9.140625" style="7"/>
    <col min="2" max="2" width="15.140625" style="4" customWidth="1"/>
    <col min="3" max="3" width="14.5703125" style="7" customWidth="1"/>
    <col min="4" max="4" width="28" style="7" bestFit="1" customWidth="1"/>
    <col min="5" max="5" width="15.28515625" style="7" bestFit="1" customWidth="1"/>
    <col min="6" max="6" width="15.28515625" style="13" customWidth="1"/>
    <col min="7" max="7" width="15.5703125" style="7" customWidth="1"/>
    <col min="8" max="8" width="12.85546875" style="7" bestFit="1" customWidth="1"/>
    <col min="9" max="9" width="12.7109375" style="7" bestFit="1" customWidth="1"/>
    <col min="10" max="10" width="12.42578125" style="7" bestFit="1" customWidth="1"/>
    <col min="11" max="11" width="12.42578125" style="7" hidden="1" customWidth="1"/>
    <col min="12" max="12" width="16.5703125" style="12" customWidth="1"/>
    <col min="13" max="13" width="14.42578125" style="7" customWidth="1"/>
    <col min="14" max="14" width="11.5703125" style="7" bestFit="1" customWidth="1"/>
    <col min="15" max="15" width="11.42578125" style="7" bestFit="1" customWidth="1"/>
    <col min="16" max="16" width="10.5703125" style="7" customWidth="1"/>
    <col min="17" max="17" width="11.28515625" style="7" customWidth="1"/>
    <col min="18" max="18" width="11.28515625" style="7" bestFit="1" customWidth="1"/>
    <col min="19" max="19" width="12.42578125" style="7" bestFit="1" customWidth="1"/>
    <col min="20" max="20" width="14.140625" style="7" bestFit="1" customWidth="1"/>
    <col min="21" max="21" width="16.7109375" style="7" bestFit="1" customWidth="1"/>
    <col min="22" max="22" width="15.140625" style="7" customWidth="1"/>
    <col min="23" max="23" width="15.140625" style="7" bestFit="1" customWidth="1"/>
    <col min="24" max="24" width="12.5703125" style="7" bestFit="1" customWidth="1"/>
    <col min="25" max="25" width="16.28515625" style="7" bestFit="1" customWidth="1"/>
    <col min="26" max="26" width="16.28515625" style="7" customWidth="1"/>
    <col min="27" max="27" width="14.85546875" style="7" bestFit="1" customWidth="1"/>
    <col min="28" max="28" width="14.85546875" style="7" customWidth="1"/>
    <col min="29" max="29" width="23" style="7" bestFit="1" customWidth="1"/>
    <col min="30" max="30" width="33.5703125" style="7" bestFit="1" customWidth="1"/>
    <col min="31" max="31" width="22.140625" style="7" customWidth="1"/>
    <col min="32" max="32" width="19.42578125" style="7" customWidth="1"/>
    <col min="33" max="33" width="13.42578125" style="7" bestFit="1" customWidth="1"/>
    <col min="34" max="34" width="17" style="7" bestFit="1" customWidth="1"/>
    <col min="35" max="35" width="20.28515625" style="7" bestFit="1" customWidth="1"/>
    <col min="36" max="36" width="62.7109375" style="14" customWidth="1"/>
    <col min="37" max="39" width="9.140625" style="14" customWidth="1"/>
    <col min="40" max="16384" width="9.140625" style="7"/>
  </cols>
  <sheetData>
    <row r="1" spans="1:39" s="2" customFormat="1" ht="33" customHeight="1" x14ac:dyDescent="0.25">
      <c r="A1" s="1" t="s">
        <v>195</v>
      </c>
      <c r="B1" s="1" t="s">
        <v>0</v>
      </c>
      <c r="C1" s="1" t="s">
        <v>1</v>
      </c>
      <c r="D1" s="1" t="s">
        <v>2</v>
      </c>
      <c r="E1" s="3" t="s">
        <v>168</v>
      </c>
      <c r="F1" s="3" t="s">
        <v>169</v>
      </c>
      <c r="G1" s="3" t="s">
        <v>178</v>
      </c>
      <c r="H1" s="1" t="s">
        <v>170</v>
      </c>
      <c r="I1" s="1" t="s">
        <v>171</v>
      </c>
      <c r="J1" s="1" t="s">
        <v>172</v>
      </c>
      <c r="K1" s="1" t="s">
        <v>3</v>
      </c>
      <c r="L1" s="1" t="s">
        <v>203</v>
      </c>
      <c r="M1" s="1" t="s">
        <v>173</v>
      </c>
      <c r="N1" s="1" t="s">
        <v>174</v>
      </c>
      <c r="O1" s="3" t="s">
        <v>175</v>
      </c>
      <c r="P1" s="3" t="s">
        <v>176</v>
      </c>
      <c r="Q1" s="1" t="s">
        <v>177</v>
      </c>
      <c r="R1" s="3" t="s">
        <v>179</v>
      </c>
      <c r="S1" s="3" t="s">
        <v>180</v>
      </c>
      <c r="T1" s="3" t="s">
        <v>181</v>
      </c>
      <c r="U1" s="3" t="s">
        <v>182</v>
      </c>
      <c r="V1" s="1" t="s">
        <v>183</v>
      </c>
      <c r="W1" s="1" t="s">
        <v>184</v>
      </c>
      <c r="X1" s="1" t="s">
        <v>185</v>
      </c>
      <c r="Y1" s="3" t="s">
        <v>186</v>
      </c>
      <c r="Z1" s="3" t="s">
        <v>202</v>
      </c>
      <c r="AA1" s="1" t="s">
        <v>187</v>
      </c>
      <c r="AB1" s="3" t="s">
        <v>188</v>
      </c>
      <c r="AC1" s="3" t="s">
        <v>196</v>
      </c>
      <c r="AD1" s="1" t="s">
        <v>189</v>
      </c>
      <c r="AE1" s="3" t="s">
        <v>197</v>
      </c>
      <c r="AF1" s="1" t="s">
        <v>190</v>
      </c>
      <c r="AG1" s="1" t="s">
        <v>191</v>
      </c>
      <c r="AH1" s="1" t="s">
        <v>192</v>
      </c>
      <c r="AI1" s="3" t="s">
        <v>193</v>
      </c>
      <c r="AJ1" s="17" t="s">
        <v>194</v>
      </c>
      <c r="AK1" s="18"/>
      <c r="AL1" s="18"/>
      <c r="AM1" s="18"/>
    </row>
    <row r="2" spans="1:39" x14ac:dyDescent="0.25">
      <c r="A2" s="7">
        <v>1</v>
      </c>
      <c r="B2" s="5" t="s">
        <v>4</v>
      </c>
      <c r="C2" s="7" t="s">
        <v>5</v>
      </c>
      <c r="D2" s="7" t="s">
        <v>6</v>
      </c>
      <c r="E2" s="7">
        <v>8.6999999999999993</v>
      </c>
      <c r="F2" s="13">
        <f>(PI()*(E2/2)^2)/144</f>
        <v>0.41282490963578367</v>
      </c>
      <c r="G2" s="9">
        <f>N2/(4*F2)</f>
        <v>666.14197346429455</v>
      </c>
      <c r="H2" s="7">
        <v>322</v>
      </c>
      <c r="I2" s="7">
        <v>115</v>
      </c>
      <c r="J2" s="7">
        <v>242</v>
      </c>
      <c r="K2" s="7">
        <f>J2/1000</f>
        <v>0.24199999999999999</v>
      </c>
      <c r="L2" s="12">
        <f>IF(H2&gt;0 &amp; I2&gt;0 &amp; J2&gt;0,H2*I2*J2/1000,0)</f>
        <v>8961.26</v>
      </c>
      <c r="M2" s="11">
        <v>354</v>
      </c>
      <c r="N2" s="7">
        <v>1100</v>
      </c>
      <c r="O2" s="7">
        <v>31</v>
      </c>
      <c r="P2" s="7">
        <v>10000</v>
      </c>
      <c r="Q2" s="7">
        <v>6000</v>
      </c>
      <c r="R2" s="7">
        <v>20</v>
      </c>
      <c r="S2" s="7">
        <v>6</v>
      </c>
      <c r="T2" s="7">
        <v>5</v>
      </c>
      <c r="U2" s="7">
        <v>10</v>
      </c>
      <c r="V2" s="7" t="s">
        <v>7</v>
      </c>
      <c r="W2" s="7">
        <v>297</v>
      </c>
      <c r="X2" s="7">
        <v>4</v>
      </c>
      <c r="Y2" s="7">
        <v>3850</v>
      </c>
      <c r="Z2" s="9">
        <f>(X2*3.7)*(Y2/1000)</f>
        <v>56.980000000000004</v>
      </c>
      <c r="AA2" s="7">
        <v>1</v>
      </c>
      <c r="AB2" s="7">
        <v>90</v>
      </c>
      <c r="AC2" s="7" t="s">
        <v>8</v>
      </c>
      <c r="AD2" s="7" t="s">
        <v>9</v>
      </c>
      <c r="AE2" s="7" t="s">
        <v>10</v>
      </c>
      <c r="AF2" s="7" t="s">
        <v>11</v>
      </c>
      <c r="AG2" s="7" t="s">
        <v>10</v>
      </c>
      <c r="AH2" s="7" t="s">
        <v>12</v>
      </c>
      <c r="AI2" s="7" t="s">
        <v>13</v>
      </c>
    </row>
    <row r="3" spans="1:39" x14ac:dyDescent="0.25">
      <c r="A3" s="7">
        <v>2</v>
      </c>
      <c r="B3" s="5" t="s">
        <v>4</v>
      </c>
      <c r="C3" s="7" t="s">
        <v>5</v>
      </c>
      <c r="D3" s="10" t="s">
        <v>146</v>
      </c>
      <c r="E3" s="7">
        <v>8.6999999999999993</v>
      </c>
      <c r="F3" s="13">
        <f>(PI()*(E3/2)^2)/144</f>
        <v>0.41282490963578367</v>
      </c>
      <c r="G3" s="9">
        <f>N3/(4*F3)</f>
        <v>549.26433630192287</v>
      </c>
      <c r="H3" s="7">
        <v>214</v>
      </c>
      <c r="I3" s="7">
        <v>84</v>
      </c>
      <c r="J3" s="7">
        <v>91</v>
      </c>
      <c r="K3" s="7">
        <f>J3/1000</f>
        <v>9.0999999999999998E-2</v>
      </c>
      <c r="L3" s="12">
        <f>IF(H3&gt;0 &amp; I3&gt;0 &amp; J3&gt;0,H3*I3*J3/1000,0)</f>
        <v>1635.816</v>
      </c>
      <c r="M3" s="11">
        <v>354</v>
      </c>
      <c r="N3" s="7">
        <v>907</v>
      </c>
      <c r="O3" s="7">
        <v>31</v>
      </c>
      <c r="P3" s="7">
        <v>10000</v>
      </c>
      <c r="Q3" s="7">
        <v>6000</v>
      </c>
      <c r="R3" s="7">
        <v>20</v>
      </c>
      <c r="S3" s="7">
        <v>5</v>
      </c>
      <c r="T3" s="7">
        <v>3</v>
      </c>
      <c r="U3" s="7">
        <v>10.5</v>
      </c>
      <c r="V3" s="7" t="s">
        <v>7</v>
      </c>
      <c r="W3" s="7">
        <v>297</v>
      </c>
      <c r="X3" s="7">
        <v>4</v>
      </c>
      <c r="Y3" s="7">
        <v>3850</v>
      </c>
      <c r="Z3" s="9">
        <f>(X3*3.7)*(Y3/1000)</f>
        <v>56.980000000000004</v>
      </c>
      <c r="AA3" s="7">
        <v>1</v>
      </c>
      <c r="AB3" s="7">
        <v>45</v>
      </c>
      <c r="AC3" s="7" t="s">
        <v>8</v>
      </c>
      <c r="AD3" s="7" t="s">
        <v>9</v>
      </c>
      <c r="AE3" s="7" t="s">
        <v>10</v>
      </c>
      <c r="AF3" s="7" t="s">
        <v>11</v>
      </c>
      <c r="AG3" s="7" t="s">
        <v>10</v>
      </c>
      <c r="AH3" s="7" t="s">
        <v>15</v>
      </c>
      <c r="AI3" s="7" t="s">
        <v>13</v>
      </c>
    </row>
    <row r="4" spans="1:39" x14ac:dyDescent="0.25">
      <c r="A4" s="7">
        <v>3</v>
      </c>
      <c r="B4" s="5" t="s">
        <v>4</v>
      </c>
      <c r="C4" s="7" t="s">
        <v>5</v>
      </c>
      <c r="D4" s="7" t="s">
        <v>14</v>
      </c>
      <c r="E4" s="7">
        <v>7.2</v>
      </c>
      <c r="F4" s="13">
        <f>(PI()*(E4/2)^2)/144</f>
        <v>0.28274333882308139</v>
      </c>
      <c r="G4" s="9">
        <f>N4/(4*F4)</f>
        <v>503.99065312433521</v>
      </c>
      <c r="H4" s="7">
        <v>183</v>
      </c>
      <c r="I4" s="7">
        <v>253</v>
      </c>
      <c r="J4" s="7">
        <v>77</v>
      </c>
      <c r="K4" s="7">
        <f>J4/1000</f>
        <v>7.6999999999999999E-2</v>
      </c>
      <c r="L4" s="12">
        <f>IF(H4&gt;0 &amp; I4&gt;0 &amp; J4&gt;0,H4*I4*J4/1000,0)</f>
        <v>3565.0230000000001</v>
      </c>
      <c r="M4" s="11">
        <v>302</v>
      </c>
      <c r="N4" s="7">
        <v>570</v>
      </c>
      <c r="O4" s="7">
        <v>34</v>
      </c>
      <c r="P4" s="7">
        <v>18500</v>
      </c>
      <c r="Q4" s="7">
        <v>5000</v>
      </c>
      <c r="R4" s="7">
        <v>19</v>
      </c>
      <c r="S4" s="7">
        <v>4</v>
      </c>
      <c r="T4" s="7">
        <v>3</v>
      </c>
      <c r="U4" s="7">
        <v>10.5</v>
      </c>
      <c r="V4" s="7" t="s">
        <v>7</v>
      </c>
      <c r="W4" s="7">
        <v>198</v>
      </c>
      <c r="X4" s="7">
        <v>3</v>
      </c>
      <c r="Y4" s="7">
        <v>3500</v>
      </c>
      <c r="Z4" s="9">
        <f>(X4*3.7)*(Y4/1000)</f>
        <v>38.850000000000009</v>
      </c>
      <c r="AA4" s="7">
        <v>1</v>
      </c>
      <c r="AB4" s="7">
        <v>100</v>
      </c>
      <c r="AC4" s="7" t="s">
        <v>8</v>
      </c>
      <c r="AD4" s="7" t="s">
        <v>9</v>
      </c>
      <c r="AE4" s="7" t="s">
        <v>10</v>
      </c>
      <c r="AF4" s="7" t="s">
        <v>11</v>
      </c>
      <c r="AG4" s="7" t="s">
        <v>10</v>
      </c>
      <c r="AH4" s="7" t="s">
        <v>15</v>
      </c>
      <c r="AI4" s="7" t="s">
        <v>13</v>
      </c>
    </row>
    <row r="5" spans="1:39" x14ac:dyDescent="0.25">
      <c r="A5" s="7">
        <v>4</v>
      </c>
      <c r="B5" s="5" t="s">
        <v>4</v>
      </c>
      <c r="C5" s="7" t="s">
        <v>5</v>
      </c>
      <c r="D5" s="7" t="s">
        <v>16</v>
      </c>
      <c r="E5" s="7">
        <v>9.4</v>
      </c>
      <c r="F5" s="13">
        <f>(PI()*(E5/2)^2)/144</f>
        <v>0.48192903970693429</v>
      </c>
      <c r="G5" s="9">
        <f>N5/(4*F5)</f>
        <v>713.27928320949013</v>
      </c>
      <c r="H5" s="7">
        <v>392</v>
      </c>
      <c r="I5" s="7">
        <v>328</v>
      </c>
      <c r="J5" s="7">
        <v>222</v>
      </c>
      <c r="K5" s="7">
        <f>J5/1000</f>
        <v>0.222</v>
      </c>
      <c r="L5" s="12">
        <f>IF(H5&gt;0 &amp; I5&gt;0 &amp; J5&gt;0,H5*I5*J5/1000,0)</f>
        <v>28543.871999999999</v>
      </c>
      <c r="M5" s="11">
        <v>350</v>
      </c>
      <c r="N5" s="7">
        <v>1375</v>
      </c>
      <c r="O5" s="7">
        <v>30</v>
      </c>
      <c r="P5" s="7">
        <v>36000</v>
      </c>
      <c r="Q5" s="7">
        <v>6000</v>
      </c>
      <c r="R5" s="7">
        <v>20</v>
      </c>
      <c r="S5" s="7">
        <v>6</v>
      </c>
      <c r="T5" s="7">
        <v>4</v>
      </c>
      <c r="U5" s="7">
        <v>10</v>
      </c>
      <c r="V5" s="7" t="s">
        <v>7</v>
      </c>
      <c r="W5" s="7">
        <v>468</v>
      </c>
      <c r="X5" s="7">
        <v>4</v>
      </c>
      <c r="Y5" s="7">
        <v>5870</v>
      </c>
      <c r="Z5" s="9">
        <f>(X5*3.7)*(Y5/1000)</f>
        <v>86.876000000000005</v>
      </c>
      <c r="AA5" s="7">
        <v>1</v>
      </c>
      <c r="AB5" s="7">
        <v>70</v>
      </c>
      <c r="AC5" s="7" t="s">
        <v>8</v>
      </c>
      <c r="AD5" s="7" t="s">
        <v>9</v>
      </c>
      <c r="AE5" s="7" t="s">
        <v>10</v>
      </c>
      <c r="AF5" s="7" t="s">
        <v>11</v>
      </c>
      <c r="AG5" s="7" t="s">
        <v>11</v>
      </c>
      <c r="AH5" s="7" t="s">
        <v>15</v>
      </c>
      <c r="AI5" s="7" t="s">
        <v>13</v>
      </c>
    </row>
    <row r="6" spans="1:39" x14ac:dyDescent="0.25">
      <c r="A6" s="7">
        <v>5</v>
      </c>
      <c r="B6" s="5" t="s">
        <v>17</v>
      </c>
      <c r="C6" s="7" t="s">
        <v>17</v>
      </c>
      <c r="D6" s="7" t="s">
        <v>18</v>
      </c>
      <c r="E6" s="7">
        <v>5.75</v>
      </c>
      <c r="F6" s="13">
        <f>(PI()*(E6/2)^2)/144</f>
        <v>0.18032796373144536</v>
      </c>
      <c r="G6" s="9">
        <f>N6/(4*F6)</f>
        <v>892.81771206472638</v>
      </c>
      <c r="H6" s="7">
        <v>373</v>
      </c>
      <c r="I6" s="7">
        <v>84</v>
      </c>
      <c r="J6" s="7">
        <v>282</v>
      </c>
      <c r="K6" s="7">
        <f>J6/1000</f>
        <v>0.28199999999999997</v>
      </c>
      <c r="L6" s="12">
        <f>IF(H6&gt;0 &amp; I6&gt;0 &amp; J6&gt;0,H6*I6*J6/1000,0)</f>
        <v>8835.6239999999998</v>
      </c>
      <c r="M6" s="11">
        <f>SQRT(H6^2 + J6^2)</f>
        <v>467.60346448673795</v>
      </c>
      <c r="N6" s="7">
        <v>644</v>
      </c>
      <c r="O6" s="7">
        <v>32</v>
      </c>
      <c r="P6" s="7">
        <v>5000</v>
      </c>
      <c r="Q6" s="7">
        <v>5000</v>
      </c>
      <c r="R6" s="7">
        <v>15</v>
      </c>
      <c r="S6" s="7">
        <v>4</v>
      </c>
      <c r="T6" s="7">
        <v>4</v>
      </c>
      <c r="U6" s="7">
        <v>15</v>
      </c>
      <c r="V6" s="7" t="s">
        <v>7</v>
      </c>
      <c r="W6" s="7">
        <v>195</v>
      </c>
      <c r="X6" s="7">
        <v>3</v>
      </c>
      <c r="Y6" s="7">
        <v>3400</v>
      </c>
      <c r="Z6" s="9">
        <f>(X6*3.7)*(Y6/1000)</f>
        <v>37.74</v>
      </c>
      <c r="AA6" s="7">
        <v>1</v>
      </c>
      <c r="AB6" s="7">
        <v>120</v>
      </c>
      <c r="AC6" s="7" t="s">
        <v>8</v>
      </c>
      <c r="AD6" s="7" t="s">
        <v>19</v>
      </c>
      <c r="AE6" s="7" t="s">
        <v>11</v>
      </c>
      <c r="AF6" s="7" t="s">
        <v>11</v>
      </c>
      <c r="AG6" s="7" t="s">
        <v>10</v>
      </c>
      <c r="AH6" s="7" t="s">
        <v>12</v>
      </c>
      <c r="AI6" s="7" t="s">
        <v>13</v>
      </c>
    </row>
    <row r="7" spans="1:39" x14ac:dyDescent="0.25">
      <c r="A7" s="7">
        <v>6</v>
      </c>
      <c r="B7" s="5" t="s">
        <v>17</v>
      </c>
      <c r="C7" s="7" t="s">
        <v>17</v>
      </c>
      <c r="D7" s="7" t="s">
        <v>20</v>
      </c>
      <c r="E7" s="7">
        <v>7.2</v>
      </c>
      <c r="F7" s="13">
        <f>(PI()*(E7/2)^2)/144</f>
        <v>0.28274333882308139</v>
      </c>
      <c r="G7" s="9">
        <f>N7/(4*F7)</f>
        <v>794.00632720290002</v>
      </c>
      <c r="H7" s="7">
        <v>440</v>
      </c>
      <c r="I7" s="7">
        <v>118</v>
      </c>
      <c r="J7" s="7">
        <v>320</v>
      </c>
      <c r="K7" s="7">
        <f>J7/1000</f>
        <v>0.32</v>
      </c>
      <c r="L7" s="12">
        <f>IF(H7&gt;0 &amp; I7&gt;0 &amp; J7&gt;0,H7*I7*J7/1000,0)</f>
        <v>16614.400000000001</v>
      </c>
      <c r="M7" s="11">
        <f>SQRT(H7^2 + J7^2)</f>
        <v>544.05882034941772</v>
      </c>
      <c r="N7" s="7">
        <v>898</v>
      </c>
      <c r="O7" s="7">
        <v>32</v>
      </c>
      <c r="P7" s="7">
        <v>22500</v>
      </c>
      <c r="Q7" s="7">
        <v>5000</v>
      </c>
      <c r="R7" s="7">
        <v>17</v>
      </c>
      <c r="S7" s="7">
        <v>4</v>
      </c>
      <c r="T7" s="7">
        <v>4</v>
      </c>
      <c r="U7" s="7">
        <v>14</v>
      </c>
      <c r="V7" s="7" t="s">
        <v>7</v>
      </c>
      <c r="W7" s="7">
        <v>366</v>
      </c>
      <c r="X7" s="7">
        <v>3</v>
      </c>
      <c r="Y7" s="7">
        <v>6800</v>
      </c>
      <c r="Z7" s="9">
        <f>(X7*3.7)*(Y7/1000)</f>
        <v>75.48</v>
      </c>
      <c r="AA7" s="7">
        <v>1</v>
      </c>
      <c r="AB7" s="7">
        <v>120</v>
      </c>
      <c r="AC7" s="7" t="s">
        <v>8</v>
      </c>
      <c r="AD7" s="7" t="s">
        <v>19</v>
      </c>
      <c r="AE7" s="7" t="s">
        <v>10</v>
      </c>
      <c r="AF7" s="7" t="s">
        <v>10</v>
      </c>
      <c r="AG7" s="7" t="s">
        <v>10</v>
      </c>
      <c r="AH7" s="7" t="s">
        <v>15</v>
      </c>
      <c r="AI7" s="7" t="s">
        <v>13</v>
      </c>
    </row>
    <row r="8" spans="1:39" x14ac:dyDescent="0.25">
      <c r="A8" s="7">
        <v>10</v>
      </c>
      <c r="B8" s="6" t="s">
        <v>22</v>
      </c>
      <c r="C8" s="7" t="s">
        <v>22</v>
      </c>
      <c r="D8" s="7" t="s">
        <v>23</v>
      </c>
      <c r="E8" s="7">
        <v>13</v>
      </c>
      <c r="F8" s="13">
        <f>(PI()*(E8/2)^2)/144</f>
        <v>0.92175201120950534</v>
      </c>
      <c r="G8" s="9">
        <f>N8/(4*F8)</f>
        <v>359.36997801104889</v>
      </c>
      <c r="H8" s="7">
        <v>660</v>
      </c>
      <c r="I8" s="7">
        <v>200</v>
      </c>
      <c r="J8" s="7">
        <v>560</v>
      </c>
      <c r="K8" s="7">
        <f>J8/1000</f>
        <v>0.56000000000000005</v>
      </c>
      <c r="L8" s="12">
        <f>IF(H8&gt;0 &amp; I8&gt;0 &amp; J8&gt;0,H8*I8*J8/1000,0)</f>
        <v>73920</v>
      </c>
      <c r="M8" s="11">
        <f>SQRT(H8^2 + J8^2)</f>
        <v>865.56340033529602</v>
      </c>
      <c r="N8" s="7">
        <v>1325</v>
      </c>
      <c r="O8" s="7">
        <v>35</v>
      </c>
      <c r="P8" s="7">
        <v>10000</v>
      </c>
      <c r="Q8" s="7">
        <v>3500</v>
      </c>
      <c r="R8" s="7">
        <v>11</v>
      </c>
      <c r="U8" s="7">
        <v>10</v>
      </c>
      <c r="V8" s="7" t="s">
        <v>7</v>
      </c>
      <c r="W8" s="7">
        <v>258</v>
      </c>
      <c r="X8" s="7">
        <v>3</v>
      </c>
      <c r="Y8" s="7">
        <v>4280</v>
      </c>
      <c r="Z8" s="9">
        <f>(X8*3.7)*(Y8/1000)</f>
        <v>47.50800000000001</v>
      </c>
      <c r="AA8" s="7">
        <v>1</v>
      </c>
      <c r="AB8" s="7">
        <v>60</v>
      </c>
      <c r="AC8" s="7" t="s">
        <v>21</v>
      </c>
      <c r="AD8" s="7" t="s">
        <v>24</v>
      </c>
      <c r="AE8" s="7" t="s">
        <v>10</v>
      </c>
      <c r="AF8" s="7" t="s">
        <v>11</v>
      </c>
      <c r="AG8" s="7" t="s">
        <v>10</v>
      </c>
      <c r="AH8" s="7" t="s">
        <v>12</v>
      </c>
      <c r="AI8" s="7" t="s">
        <v>13</v>
      </c>
    </row>
    <row r="9" spans="1:39" x14ac:dyDescent="0.25">
      <c r="A9" s="7">
        <v>11</v>
      </c>
      <c r="B9" s="5" t="s">
        <v>22</v>
      </c>
      <c r="C9" s="7" t="s">
        <v>22</v>
      </c>
      <c r="D9" s="7" t="s">
        <v>23</v>
      </c>
      <c r="E9" s="7">
        <v>13</v>
      </c>
      <c r="F9" s="13">
        <f>(PI()*(E9/2)^2)/144</f>
        <v>0.92175201120950534</v>
      </c>
      <c r="G9" s="9">
        <f>N9/(4*F9)</f>
        <v>216.97809993119932</v>
      </c>
      <c r="H9" s="7">
        <v>229</v>
      </c>
      <c r="I9" s="7">
        <v>126</v>
      </c>
      <c r="J9" s="7">
        <v>274</v>
      </c>
      <c r="K9" s="7">
        <f>J9/1000</f>
        <v>0.27400000000000002</v>
      </c>
      <c r="L9" s="12">
        <f>IF(H9&gt;0 &amp; I9&gt;0 &amp; J9&gt;0,H9*I9*J9/1000,0)</f>
        <v>7905.9960000000001</v>
      </c>
      <c r="M9" s="11">
        <f>SQRT(H9^2 + J9^2)</f>
        <v>357.09522539513182</v>
      </c>
      <c r="N9" s="7">
        <v>800</v>
      </c>
      <c r="O9" s="7">
        <v>27</v>
      </c>
      <c r="P9" s="7">
        <v>6000</v>
      </c>
      <c r="Q9" s="7">
        <v>4500</v>
      </c>
      <c r="R9" s="7">
        <v>16</v>
      </c>
      <c r="U9" s="7">
        <v>11</v>
      </c>
      <c r="V9" s="7" t="s">
        <v>7</v>
      </c>
      <c r="W9" s="7">
        <v>300</v>
      </c>
      <c r="X9" s="7">
        <v>3</v>
      </c>
      <c r="Y9" s="7">
        <v>5410</v>
      </c>
      <c r="Z9" s="9">
        <f>(X9*3.7)*(Y9/1000)</f>
        <v>60.051000000000009</v>
      </c>
      <c r="AA9" s="7">
        <v>1</v>
      </c>
      <c r="AC9" s="7" t="s">
        <v>21</v>
      </c>
      <c r="AD9" s="7" t="s">
        <v>9</v>
      </c>
      <c r="AE9" s="7" t="s">
        <v>10</v>
      </c>
      <c r="AF9" s="7" t="s">
        <v>11</v>
      </c>
      <c r="AG9" s="7" t="s">
        <v>11</v>
      </c>
      <c r="AH9" s="7" t="s">
        <v>15</v>
      </c>
      <c r="AI9" s="7" t="s">
        <v>13</v>
      </c>
      <c r="AJ9" s="15" t="s">
        <v>25</v>
      </c>
    </row>
    <row r="10" spans="1:39" x14ac:dyDescent="0.25">
      <c r="A10" s="7">
        <v>12</v>
      </c>
      <c r="B10" s="5" t="s">
        <v>4</v>
      </c>
      <c r="C10" s="7" t="s">
        <v>5</v>
      </c>
      <c r="D10" s="7" t="s">
        <v>26</v>
      </c>
      <c r="E10" s="7">
        <v>9.4</v>
      </c>
      <c r="F10" s="13">
        <f>(PI()*(E10/2)^2)/144</f>
        <v>0.48192903970693429</v>
      </c>
      <c r="G10" s="9">
        <f>N10/(4*F10)</f>
        <v>464.27996979817721</v>
      </c>
      <c r="H10" s="7">
        <v>347</v>
      </c>
      <c r="I10" s="7">
        <v>107</v>
      </c>
      <c r="J10" s="7">
        <v>283</v>
      </c>
      <c r="K10" s="7">
        <f>J10/1000</f>
        <v>0.28299999999999997</v>
      </c>
      <c r="L10" s="12">
        <f>IF(H10&gt;0 &amp; I10&gt;0 &amp; J10&gt;0,H10*I10*J10/1000,0)</f>
        <v>10507.507</v>
      </c>
      <c r="M10" s="11">
        <f>SQRT(H10^2 + J10^2)</f>
        <v>447.77003026107053</v>
      </c>
      <c r="N10" s="7">
        <v>895</v>
      </c>
      <c r="O10" s="7">
        <v>46</v>
      </c>
      <c r="P10" s="7">
        <v>30000</v>
      </c>
      <c r="Q10" s="7">
        <f>3700*1.6</f>
        <v>5920</v>
      </c>
      <c r="R10" s="7">
        <v>21</v>
      </c>
      <c r="S10" s="7">
        <v>8</v>
      </c>
      <c r="T10" s="7">
        <v>6</v>
      </c>
      <c r="U10" s="7">
        <v>12</v>
      </c>
      <c r="V10" s="7" t="s">
        <v>27</v>
      </c>
      <c r="W10" s="7">
        <v>335.5</v>
      </c>
      <c r="X10" s="7">
        <v>4</v>
      </c>
      <c r="Y10" s="7">
        <v>5000</v>
      </c>
      <c r="Z10" s="9">
        <f>(X10*3.7)*(Y10/1000)</f>
        <v>74</v>
      </c>
      <c r="AA10" s="7">
        <v>1</v>
      </c>
      <c r="AB10" s="7">
        <v>96</v>
      </c>
      <c r="AC10" s="7" t="s">
        <v>8</v>
      </c>
      <c r="AD10" s="7" t="s">
        <v>28</v>
      </c>
      <c r="AE10" s="7" t="s">
        <v>10</v>
      </c>
      <c r="AF10" s="7" t="s">
        <v>11</v>
      </c>
      <c r="AG10" s="7" t="s">
        <v>10</v>
      </c>
      <c r="AH10" s="7" t="s">
        <v>15</v>
      </c>
      <c r="AI10" s="7" t="s">
        <v>29</v>
      </c>
      <c r="AJ10" s="15" t="s">
        <v>30</v>
      </c>
    </row>
    <row r="11" spans="1:39" x14ac:dyDescent="0.25">
      <c r="A11" s="7">
        <v>13</v>
      </c>
      <c r="B11" s="5" t="s">
        <v>4</v>
      </c>
      <c r="C11" s="7" t="s">
        <v>5</v>
      </c>
      <c r="D11" s="7" t="s">
        <v>149</v>
      </c>
      <c r="E11" s="9">
        <f>18.3/2.54</f>
        <v>7.2047244094488194</v>
      </c>
      <c r="F11" s="13">
        <f>(PI()*(E11/2)^2)/144</f>
        <v>0.28311451481046418</v>
      </c>
      <c r="G11" s="9">
        <f>N11/(4*F11)</f>
        <v>525.40577122858997</v>
      </c>
      <c r="H11" s="7">
        <v>183</v>
      </c>
      <c r="I11" s="7">
        <v>77</v>
      </c>
      <c r="J11" s="7">
        <v>253</v>
      </c>
      <c r="K11" s="7">
        <f>J11/1000</f>
        <v>0.253</v>
      </c>
      <c r="L11" s="12">
        <f>IF(H11&gt;0 &amp; I11&gt;0 &amp; J11&gt;0,H11*I11*J11/1000,0)</f>
        <v>3565.0230000000001</v>
      </c>
      <c r="M11" s="11">
        <f>SQRT(H11^2 + J11^2)</f>
        <v>312.24669734042021</v>
      </c>
      <c r="N11" s="7">
        <v>595</v>
      </c>
      <c r="O11" s="7">
        <v>31</v>
      </c>
      <c r="P11" s="7">
        <v>18500</v>
      </c>
      <c r="Q11" s="7">
        <v>5000</v>
      </c>
      <c r="R11" s="7">
        <v>19</v>
      </c>
      <c r="S11" s="7">
        <v>6</v>
      </c>
      <c r="T11" s="7">
        <v>6</v>
      </c>
      <c r="U11" s="7">
        <v>10.7</v>
      </c>
      <c r="V11" s="7" t="s">
        <v>7</v>
      </c>
      <c r="W11" s="7">
        <v>198</v>
      </c>
      <c r="X11" s="7">
        <v>3</v>
      </c>
      <c r="Y11" s="7">
        <v>3750</v>
      </c>
      <c r="Z11" s="9">
        <f>(X11*3.7)*(Y11/1000)</f>
        <v>41.625000000000007</v>
      </c>
      <c r="AA11" s="7">
        <v>1</v>
      </c>
      <c r="AB11" s="7">
        <v>100</v>
      </c>
      <c r="AC11" s="7" t="s">
        <v>8</v>
      </c>
      <c r="AD11" s="7" t="s">
        <v>19</v>
      </c>
      <c r="AE11" s="7" t="s">
        <v>10</v>
      </c>
      <c r="AF11" s="7" t="s">
        <v>11</v>
      </c>
      <c r="AG11" s="7" t="s">
        <v>10</v>
      </c>
      <c r="AH11" s="7" t="s">
        <v>15</v>
      </c>
      <c r="AI11" s="7" t="s">
        <v>31</v>
      </c>
      <c r="AJ11" s="15" t="s">
        <v>32</v>
      </c>
    </row>
    <row r="12" spans="1:39" x14ac:dyDescent="0.25">
      <c r="A12" s="7">
        <v>15</v>
      </c>
      <c r="B12" s="5" t="s">
        <v>33</v>
      </c>
      <c r="C12" s="7" t="s">
        <v>34</v>
      </c>
      <c r="D12" s="7" t="s">
        <v>35</v>
      </c>
      <c r="E12" s="9">
        <f>24/2.54</f>
        <v>9.4488188976377945</v>
      </c>
      <c r="F12" s="13">
        <f>(PI()*(E12/2)^2)/144</f>
        <v>0.48694783520208823</v>
      </c>
      <c r="G12" s="9">
        <f>N12/(4*F12)</f>
        <v>503.13397511731938</v>
      </c>
      <c r="H12" s="7">
        <v>300</v>
      </c>
      <c r="I12" s="7">
        <v>200</v>
      </c>
      <c r="J12" s="7">
        <v>300</v>
      </c>
      <c r="K12" s="7">
        <f>J12/1000</f>
        <v>0.3</v>
      </c>
      <c r="L12" s="12">
        <f>IF(H12&gt;0 &amp; I12&gt;0 &amp; J12&gt;0,H12*I12*J12/1000,0)</f>
        <v>18000</v>
      </c>
      <c r="M12" s="11">
        <f>SQRT(H12^2 + J12^2)</f>
        <v>424.26406871192853</v>
      </c>
      <c r="N12" s="7">
        <v>980</v>
      </c>
      <c r="O12" s="7">
        <v>15</v>
      </c>
      <c r="P12" s="7">
        <v>1500</v>
      </c>
      <c r="Q12" s="7">
        <v>300</v>
      </c>
      <c r="R12" s="7">
        <v>8</v>
      </c>
      <c r="V12" s="7" t="s">
        <v>7</v>
      </c>
      <c r="W12" s="7">
        <v>180</v>
      </c>
      <c r="X12" s="7">
        <v>3</v>
      </c>
      <c r="Y12" s="7">
        <v>2700</v>
      </c>
      <c r="Z12" s="9">
        <f>(X12*3.7)*(Y12/1000)</f>
        <v>29.970000000000006</v>
      </c>
      <c r="AA12" s="7">
        <v>1</v>
      </c>
      <c r="AB12" s="7">
        <v>60</v>
      </c>
      <c r="AC12" s="7" t="s">
        <v>8</v>
      </c>
      <c r="AD12" s="7" t="s">
        <v>24</v>
      </c>
      <c r="AE12" s="7" t="s">
        <v>11</v>
      </c>
      <c r="AF12" s="7" t="s">
        <v>11</v>
      </c>
      <c r="AG12" s="7" t="s">
        <v>11</v>
      </c>
      <c r="AH12" s="7" t="s">
        <v>15</v>
      </c>
      <c r="AI12" s="7">
        <v>1080</v>
      </c>
      <c r="AJ12" s="15" t="s">
        <v>36</v>
      </c>
      <c r="AK12" s="14" t="s">
        <v>156</v>
      </c>
    </row>
    <row r="13" spans="1:39" x14ac:dyDescent="0.25">
      <c r="A13" s="7">
        <v>16</v>
      </c>
      <c r="B13" s="5" t="s">
        <v>33</v>
      </c>
      <c r="C13" s="7" t="s">
        <v>34</v>
      </c>
      <c r="D13" s="7" t="s">
        <v>37</v>
      </c>
      <c r="E13" s="9">
        <f>24/2.54</f>
        <v>9.4488188976377945</v>
      </c>
      <c r="F13" s="13">
        <f>(PI()*(E13/2)^2)/144</f>
        <v>0.48694783520208823</v>
      </c>
      <c r="G13" s="9">
        <f>N13/(4*F13)</f>
        <v>359.38141079808526</v>
      </c>
      <c r="H13" s="7">
        <v>400</v>
      </c>
      <c r="I13" s="7">
        <v>215</v>
      </c>
      <c r="J13" s="7">
        <v>400</v>
      </c>
      <c r="K13" s="7">
        <f>J13/1000</f>
        <v>0.4</v>
      </c>
      <c r="L13" s="12">
        <f>IF(H13&gt;0 &amp; I13&gt;0 &amp; J13&gt;0,H13*I13*J13/1000,0)</f>
        <v>34400</v>
      </c>
      <c r="M13" s="11">
        <f>SQRT(H13^2 + J13^2)</f>
        <v>565.68542494923804</v>
      </c>
      <c r="N13" s="7">
        <v>700</v>
      </c>
      <c r="O13" s="7">
        <v>25</v>
      </c>
      <c r="P13" s="7">
        <v>800</v>
      </c>
      <c r="R13" s="7">
        <v>9.8000000000000007</v>
      </c>
      <c r="V13" s="7" t="s">
        <v>7</v>
      </c>
      <c r="X13" s="7">
        <v>3</v>
      </c>
      <c r="Y13" s="7">
        <v>5400</v>
      </c>
      <c r="Z13" s="9">
        <f>(X13*3.7)*(Y13/1000)</f>
        <v>59.940000000000012</v>
      </c>
      <c r="AA13" s="7">
        <v>1</v>
      </c>
      <c r="AB13" s="7">
        <v>180</v>
      </c>
      <c r="AC13" s="7" t="s">
        <v>8</v>
      </c>
      <c r="AD13" s="7" t="s">
        <v>24</v>
      </c>
      <c r="AE13" s="7" t="s">
        <v>11</v>
      </c>
      <c r="AF13" s="7" t="s">
        <v>11</v>
      </c>
      <c r="AG13" s="7" t="s">
        <v>11</v>
      </c>
      <c r="AH13" s="7" t="s">
        <v>15</v>
      </c>
      <c r="AI13" s="7">
        <v>1080</v>
      </c>
      <c r="AJ13" s="15" t="s">
        <v>38</v>
      </c>
    </row>
    <row r="14" spans="1:39" x14ac:dyDescent="0.2">
      <c r="A14" s="7">
        <v>17</v>
      </c>
      <c r="B14" s="5" t="s">
        <v>39</v>
      </c>
      <c r="C14" s="7" t="s">
        <v>34</v>
      </c>
      <c r="D14" s="7" t="s">
        <v>40</v>
      </c>
      <c r="E14" s="7">
        <v>9.4499999999999993</v>
      </c>
      <c r="F14" s="13">
        <f>(PI()*(E14/2)^2)/144</f>
        <v>0.4870695797694487</v>
      </c>
      <c r="G14" s="9">
        <f>N14/(4*F14)</f>
        <v>66.725579567879535</v>
      </c>
      <c r="H14" s="7">
        <v>340</v>
      </c>
      <c r="I14" s="7">
        <v>80</v>
      </c>
      <c r="J14" s="7">
        <v>340</v>
      </c>
      <c r="K14" s="7">
        <f>J14/1000</f>
        <v>0.34</v>
      </c>
      <c r="L14" s="12">
        <f>IF(H14&gt;0 &amp; I14&gt;0 &amp; J14&gt;0,H14*I14*J14/1000,0)</f>
        <v>9248</v>
      </c>
      <c r="M14" s="11">
        <f>SQRT(H14^2 + J14^2)</f>
        <v>480.83261120685233</v>
      </c>
      <c r="N14" s="7">
        <v>130</v>
      </c>
      <c r="O14" s="7">
        <v>7</v>
      </c>
      <c r="P14" s="7">
        <v>80</v>
      </c>
      <c r="Q14" s="7">
        <v>80</v>
      </c>
      <c r="V14" s="7" t="s">
        <v>7</v>
      </c>
      <c r="X14" s="7">
        <v>2</v>
      </c>
      <c r="Y14" s="7">
        <v>450</v>
      </c>
      <c r="Z14" s="9">
        <f>(X14*3.7)*(Y14/1000)</f>
        <v>3.33</v>
      </c>
      <c r="AA14" s="7">
        <v>1</v>
      </c>
      <c r="AB14" s="7">
        <v>170</v>
      </c>
      <c r="AC14" s="7" t="s">
        <v>8</v>
      </c>
      <c r="AD14" s="7" t="s">
        <v>24</v>
      </c>
      <c r="AE14" s="7" t="s">
        <v>11</v>
      </c>
      <c r="AF14" s="7" t="s">
        <v>11</v>
      </c>
      <c r="AG14" s="7" t="s">
        <v>11</v>
      </c>
      <c r="AH14" s="7" t="s">
        <v>15</v>
      </c>
      <c r="AI14" s="7">
        <v>1080</v>
      </c>
      <c r="AJ14" s="16" t="s">
        <v>41</v>
      </c>
    </row>
    <row r="15" spans="1:39" x14ac:dyDescent="0.25">
      <c r="A15" s="7">
        <v>18</v>
      </c>
      <c r="B15" s="5" t="s">
        <v>42</v>
      </c>
      <c r="C15" s="7" t="s">
        <v>42</v>
      </c>
      <c r="D15" s="7" t="s">
        <v>43</v>
      </c>
      <c r="E15" s="9">
        <f>15.9/2.54</f>
        <v>6.2598425196850398</v>
      </c>
      <c r="F15" s="13">
        <f>(PI()*(E15/2)^2)/144</f>
        <v>0.21372444829416659</v>
      </c>
      <c r="G15" s="9">
        <f>N15/(4*F15)</f>
        <v>619.95715070289623</v>
      </c>
      <c r="I15" s="7">
        <v>70</v>
      </c>
      <c r="K15" s="7">
        <f>J15/1000</f>
        <v>0</v>
      </c>
      <c r="M15" s="11">
        <v>297</v>
      </c>
      <c r="N15" s="7">
        <v>530</v>
      </c>
      <c r="O15" s="7">
        <v>25</v>
      </c>
      <c r="P15" s="7">
        <v>1000</v>
      </c>
      <c r="Q15" s="7">
        <v>250</v>
      </c>
      <c r="R15" s="7">
        <f>24/3.6</f>
        <v>6.6666666666666661</v>
      </c>
      <c r="S15" s="7">
        <v>1.7</v>
      </c>
      <c r="T15" s="7">
        <v>1.7</v>
      </c>
      <c r="U15" s="7">
        <v>5</v>
      </c>
      <c r="V15" s="7" t="s">
        <v>7</v>
      </c>
      <c r="W15" s="7">
        <v>210</v>
      </c>
      <c r="X15" s="7">
        <v>3</v>
      </c>
      <c r="Y15" s="7">
        <v>3100</v>
      </c>
      <c r="Z15" s="9">
        <f>(X15*3.7)*(Y15/1000)</f>
        <v>34.410000000000004</v>
      </c>
      <c r="AA15" s="7">
        <v>1</v>
      </c>
      <c r="AC15" s="7" t="s">
        <v>8</v>
      </c>
      <c r="AD15" s="7" t="s">
        <v>9</v>
      </c>
      <c r="AE15" s="7" t="s">
        <v>11</v>
      </c>
      <c r="AF15" s="7" t="s">
        <v>11</v>
      </c>
      <c r="AG15" s="7" t="s">
        <v>10</v>
      </c>
      <c r="AH15" s="7" t="s">
        <v>15</v>
      </c>
      <c r="AI15" s="7" t="s">
        <v>13</v>
      </c>
    </row>
    <row r="16" spans="1:39" x14ac:dyDescent="0.25">
      <c r="A16" s="7">
        <v>19</v>
      </c>
      <c r="B16" s="5" t="s">
        <v>42</v>
      </c>
      <c r="C16" s="7" t="s">
        <v>42</v>
      </c>
      <c r="D16" s="7" t="s">
        <v>44</v>
      </c>
      <c r="E16" s="9">
        <f>14.4/2.54</f>
        <v>5.6692913385826769</v>
      </c>
      <c r="F16" s="13">
        <f>(PI()*(E16/2)^2)/144</f>
        <v>0.17530122067275178</v>
      </c>
      <c r="G16" s="9">
        <f>N16/(4*F16)</f>
        <v>397.88656195502296</v>
      </c>
      <c r="I16" s="7">
        <v>55</v>
      </c>
      <c r="K16" s="7">
        <f>J16/1000</f>
        <v>0</v>
      </c>
      <c r="M16" s="11">
        <v>252</v>
      </c>
      <c r="N16" s="7">
        <v>279</v>
      </c>
      <c r="O16" s="7">
        <v>25</v>
      </c>
      <c r="P16" s="7">
        <v>500</v>
      </c>
      <c r="Q16" s="7">
        <v>250</v>
      </c>
      <c r="U16" s="7">
        <v>5</v>
      </c>
      <c r="V16" s="7" t="s">
        <v>7</v>
      </c>
      <c r="W16" s="7">
        <v>91</v>
      </c>
      <c r="X16" s="7">
        <v>2</v>
      </c>
      <c r="Y16" s="7">
        <v>1900</v>
      </c>
      <c r="Z16" s="9">
        <f>(X16*3.7)*(Y16/1000)</f>
        <v>14.06</v>
      </c>
      <c r="AA16" s="7">
        <v>1</v>
      </c>
      <c r="AB16" s="7">
        <v>270</v>
      </c>
      <c r="AC16" s="7" t="s">
        <v>8</v>
      </c>
      <c r="AD16" s="7" t="s">
        <v>9</v>
      </c>
      <c r="AE16" s="7" t="s">
        <v>11</v>
      </c>
      <c r="AF16" s="7" t="s">
        <v>11</v>
      </c>
      <c r="AG16" s="7" t="s">
        <v>10</v>
      </c>
      <c r="AH16" s="7" t="s">
        <v>15</v>
      </c>
      <c r="AI16" s="7" t="s">
        <v>45</v>
      </c>
    </row>
    <row r="17" spans="1:37" x14ac:dyDescent="0.25">
      <c r="A17" s="7">
        <v>20</v>
      </c>
      <c r="B17" s="5" t="s">
        <v>42</v>
      </c>
      <c r="C17" s="7" t="s">
        <v>42</v>
      </c>
      <c r="D17" s="7" t="s">
        <v>46</v>
      </c>
      <c r="E17" s="9">
        <f>14.4/2.54</f>
        <v>5.6692913385826769</v>
      </c>
      <c r="F17" s="13">
        <f>(PI()*(E17/2)^2)/144</f>
        <v>0.17530122067275178</v>
      </c>
      <c r="G17" s="9">
        <f>N17/(4*F17)</f>
        <v>213.9175064274317</v>
      </c>
      <c r="H17" s="7">
        <v>320</v>
      </c>
      <c r="I17" s="7">
        <v>60</v>
      </c>
      <c r="J17" s="7">
        <v>310</v>
      </c>
      <c r="K17" s="7">
        <f>J17/1000</f>
        <v>0.31</v>
      </c>
      <c r="L17" s="12">
        <f>IF(H17&gt;0 &amp; I17&gt;0 &amp; J17&gt;0,H17*I17*J17/1000,0)</f>
        <v>5952</v>
      </c>
      <c r="M17" s="11">
        <v>236</v>
      </c>
      <c r="N17" s="7">
        <v>150</v>
      </c>
      <c r="O17" s="7">
        <v>15</v>
      </c>
      <c r="P17" s="7">
        <v>50</v>
      </c>
      <c r="Q17" s="7">
        <v>10</v>
      </c>
      <c r="V17" s="7" t="s">
        <v>7</v>
      </c>
      <c r="W17" s="7">
        <v>44</v>
      </c>
      <c r="X17" s="7">
        <v>1</v>
      </c>
      <c r="Y17" s="7">
        <v>1500</v>
      </c>
      <c r="Z17" s="9">
        <f>(X17*3.7)*(Y17/1000)</f>
        <v>5.5500000000000007</v>
      </c>
      <c r="AA17" s="7">
        <v>1</v>
      </c>
      <c r="AC17" s="7" t="s">
        <v>8</v>
      </c>
      <c r="AD17" s="7" t="s">
        <v>24</v>
      </c>
      <c r="AE17" s="7" t="s">
        <v>11</v>
      </c>
      <c r="AF17" s="7" t="s">
        <v>11</v>
      </c>
      <c r="AG17" s="7" t="s">
        <v>11</v>
      </c>
      <c r="AH17" s="7" t="s">
        <v>15</v>
      </c>
      <c r="AI17" s="7">
        <v>1080</v>
      </c>
    </row>
    <row r="18" spans="1:37" x14ac:dyDescent="0.25">
      <c r="A18" s="7">
        <v>21</v>
      </c>
      <c r="B18" s="5" t="s">
        <v>42</v>
      </c>
      <c r="C18" s="7" t="s">
        <v>42</v>
      </c>
      <c r="D18" s="7" t="s">
        <v>47</v>
      </c>
      <c r="E18" s="9">
        <f>14.4/2.54</f>
        <v>5.6692913385826769</v>
      </c>
      <c r="F18" s="13">
        <f>(PI()*(E18/2)^2)/144</f>
        <v>0.17530122067275178</v>
      </c>
      <c r="G18" s="9">
        <f>N18/(4*F18)</f>
        <v>268.10994138904772</v>
      </c>
      <c r="I18" s="7">
        <v>60</v>
      </c>
      <c r="K18" s="7">
        <f>J18/1000</f>
        <v>0</v>
      </c>
      <c r="M18" s="11">
        <v>252</v>
      </c>
      <c r="N18" s="7">
        <v>188</v>
      </c>
      <c r="O18" s="7">
        <v>23</v>
      </c>
      <c r="P18" s="7">
        <v>500</v>
      </c>
      <c r="Q18" s="7">
        <v>250</v>
      </c>
      <c r="U18" s="7">
        <v>5</v>
      </c>
      <c r="V18" s="7" t="s">
        <v>7</v>
      </c>
      <c r="W18" s="7">
        <v>91</v>
      </c>
      <c r="X18" s="7">
        <v>2</v>
      </c>
      <c r="Y18" s="7">
        <v>2300</v>
      </c>
      <c r="Z18" s="9">
        <f>(X18*3.7)*(Y18/1000)</f>
        <v>17.02</v>
      </c>
      <c r="AA18" s="7">
        <v>1</v>
      </c>
      <c r="AB18" s="7">
        <v>300</v>
      </c>
      <c r="AC18" s="7" t="s">
        <v>8</v>
      </c>
      <c r="AD18" s="7" t="s">
        <v>9</v>
      </c>
      <c r="AE18" s="7" t="s">
        <v>11</v>
      </c>
      <c r="AF18" s="7" t="s">
        <v>11</v>
      </c>
      <c r="AG18" s="7" t="s">
        <v>10</v>
      </c>
      <c r="AH18" s="7" t="s">
        <v>15</v>
      </c>
      <c r="AI18" s="7" t="s">
        <v>45</v>
      </c>
    </row>
    <row r="19" spans="1:37" x14ac:dyDescent="0.25">
      <c r="A19" s="7">
        <v>22</v>
      </c>
      <c r="B19" s="5" t="s">
        <v>42</v>
      </c>
      <c r="C19" s="7" t="s">
        <v>42</v>
      </c>
      <c r="D19" s="7" t="s">
        <v>48</v>
      </c>
      <c r="E19" s="9">
        <f>15.5/2.54</f>
        <v>6.1023622047244093</v>
      </c>
      <c r="F19" s="13">
        <f>(PI()*(E19/2)^2)/144</f>
        <v>0.20310628022100993</v>
      </c>
      <c r="G19" s="9">
        <f>N19/(4*F19)</f>
        <v>332.33832024568579</v>
      </c>
      <c r="H19" s="7">
        <v>263</v>
      </c>
      <c r="I19" s="7">
        <v>60</v>
      </c>
      <c r="J19" s="7">
        <v>263</v>
      </c>
      <c r="K19" s="7">
        <f>J19/1000</f>
        <v>0.26300000000000001</v>
      </c>
      <c r="L19" s="12">
        <f>IF(H19&gt;0 &amp; I19&gt;0 &amp; J19&gt;0,H19*I19*J19/1000,0)</f>
        <v>4150.1400000000003</v>
      </c>
      <c r="M19" s="11">
        <v>297</v>
      </c>
      <c r="N19" s="7">
        <v>270</v>
      </c>
      <c r="O19" s="7">
        <v>15</v>
      </c>
      <c r="P19" s="7">
        <v>300</v>
      </c>
      <c r="Q19" s="7">
        <v>250</v>
      </c>
      <c r="R19" s="7">
        <v>5.55</v>
      </c>
      <c r="S19" s="7">
        <v>1.7</v>
      </c>
      <c r="T19" s="7">
        <v>1.7</v>
      </c>
      <c r="U19" s="7">
        <v>3</v>
      </c>
      <c r="V19" s="7" t="s">
        <v>7</v>
      </c>
      <c r="W19" s="7">
        <v>82</v>
      </c>
      <c r="X19" s="7">
        <v>2</v>
      </c>
      <c r="Y19" s="7">
        <v>1500</v>
      </c>
      <c r="Z19" s="9">
        <f>(X19*3.7)*(Y19/1000)</f>
        <v>11.100000000000001</v>
      </c>
      <c r="AA19" s="7">
        <v>1</v>
      </c>
      <c r="AB19" s="7">
        <v>260</v>
      </c>
      <c r="AC19" s="7" t="s">
        <v>8</v>
      </c>
      <c r="AD19" s="7" t="s">
        <v>9</v>
      </c>
      <c r="AE19" s="7" t="s">
        <v>11</v>
      </c>
      <c r="AF19" s="7" t="s">
        <v>11</v>
      </c>
      <c r="AG19" s="7" t="s">
        <v>10</v>
      </c>
      <c r="AH19" s="7" t="s">
        <v>15</v>
      </c>
      <c r="AI19" s="7" t="s">
        <v>45</v>
      </c>
      <c r="AJ19" s="14" t="s">
        <v>167</v>
      </c>
    </row>
    <row r="20" spans="1:37" x14ac:dyDescent="0.25">
      <c r="A20" s="7">
        <v>23</v>
      </c>
      <c r="B20" s="5" t="s">
        <v>49</v>
      </c>
      <c r="C20" s="7" t="s">
        <v>49</v>
      </c>
      <c r="D20" s="7" t="s">
        <v>50</v>
      </c>
      <c r="E20" s="7">
        <v>13.5</v>
      </c>
      <c r="F20" s="13">
        <f>(PI()*(E20/2)^2)/144</f>
        <v>0.99401955054989544</v>
      </c>
      <c r="G20" s="9">
        <f>N20/(4*F20)</f>
        <v>145.11787008635829</v>
      </c>
      <c r="H20" s="7">
        <v>380</v>
      </c>
      <c r="I20" s="7">
        <v>125</v>
      </c>
      <c r="J20" s="7">
        <v>230</v>
      </c>
      <c r="K20" s="7">
        <f>J20/1000</f>
        <v>0.23</v>
      </c>
      <c r="L20" s="12">
        <f>IF(H20&gt;0 &amp; I20&gt;0 &amp; J20&gt;0,H20*I20*J20/1000,0)</f>
        <v>10925</v>
      </c>
      <c r="M20" s="11">
        <f>SQRT(H20^2 + J20^2)</f>
        <v>444.18464629025618</v>
      </c>
      <c r="N20" s="7">
        <v>577</v>
      </c>
      <c r="O20" s="7">
        <v>23</v>
      </c>
      <c r="P20" s="7">
        <v>999</v>
      </c>
      <c r="Q20" s="7">
        <v>999</v>
      </c>
      <c r="R20" s="7">
        <v>19.600000000000001</v>
      </c>
      <c r="V20" s="7" t="s">
        <v>7</v>
      </c>
      <c r="X20" s="7">
        <v>2</v>
      </c>
      <c r="Y20" s="7">
        <v>2800</v>
      </c>
      <c r="Z20" s="9">
        <f>(X20*3.7)*(Y20/1000)</f>
        <v>20.72</v>
      </c>
      <c r="AA20" s="7">
        <v>1</v>
      </c>
      <c r="AB20" s="7">
        <f>5*60</f>
        <v>300</v>
      </c>
      <c r="AC20" s="7" t="s">
        <v>8</v>
      </c>
      <c r="AD20" s="7" t="s">
        <v>9</v>
      </c>
      <c r="AE20" s="7" t="s">
        <v>11</v>
      </c>
      <c r="AF20" s="7" t="s">
        <v>11</v>
      </c>
      <c r="AG20" s="7" t="s">
        <v>11</v>
      </c>
      <c r="AH20" s="7" t="s">
        <v>15</v>
      </c>
      <c r="AI20" s="7" t="s">
        <v>13</v>
      </c>
    </row>
    <row r="21" spans="1:37" x14ac:dyDescent="0.25">
      <c r="A21" s="7">
        <v>24</v>
      </c>
      <c r="B21" s="5" t="s">
        <v>49</v>
      </c>
      <c r="C21" s="7" t="s">
        <v>49</v>
      </c>
      <c r="D21" s="7" t="s">
        <v>51</v>
      </c>
      <c r="E21" s="7">
        <v>6</v>
      </c>
      <c r="F21" s="13">
        <f>(PI()*(E21/2)^2)/144</f>
        <v>0.19634954084936207</v>
      </c>
      <c r="G21" s="9">
        <f>N21/(4*F21)</f>
        <v>480.01130836515637</v>
      </c>
      <c r="H21" s="7">
        <v>305</v>
      </c>
      <c r="I21" s="7">
        <v>63</v>
      </c>
      <c r="J21" s="7">
        <v>230</v>
      </c>
      <c r="K21" s="7">
        <f>J21/1000</f>
        <v>0.23</v>
      </c>
      <c r="L21" s="12">
        <f>IF(H21&gt;0 &amp; I21&gt;0 &amp; J21&gt;0,H21*I21*J21/1000,0)</f>
        <v>4419.45</v>
      </c>
      <c r="M21" s="11">
        <f>SQRT(H21^2 + J21^2)</f>
        <v>382.00130889828114</v>
      </c>
      <c r="N21" s="7">
        <v>377</v>
      </c>
      <c r="O21" s="7">
        <v>26</v>
      </c>
      <c r="P21" s="7">
        <v>999</v>
      </c>
      <c r="Q21" s="7">
        <v>999</v>
      </c>
      <c r="R21" s="7">
        <v>16</v>
      </c>
      <c r="V21" s="7" t="s">
        <v>7</v>
      </c>
      <c r="X21" s="7">
        <v>2</v>
      </c>
      <c r="Y21" s="7">
        <v>2950</v>
      </c>
      <c r="Z21" s="9">
        <f>(X21*3.7)*(Y21/1000)</f>
        <v>21.830000000000002</v>
      </c>
      <c r="AA21" s="7">
        <v>1</v>
      </c>
      <c r="AB21" s="7">
        <v>300</v>
      </c>
      <c r="AC21" s="7" t="s">
        <v>8</v>
      </c>
      <c r="AD21" s="7" t="s">
        <v>24</v>
      </c>
      <c r="AE21" s="7" t="s">
        <v>11</v>
      </c>
      <c r="AF21" s="7" t="s">
        <v>11</v>
      </c>
      <c r="AG21" s="7" t="s">
        <v>10</v>
      </c>
      <c r="AH21" s="7" t="s">
        <v>15</v>
      </c>
      <c r="AI21" s="7" t="s">
        <v>13</v>
      </c>
      <c r="AJ21" s="14" t="s">
        <v>164</v>
      </c>
    </row>
    <row r="22" spans="1:37" x14ac:dyDescent="0.25">
      <c r="A22" s="7">
        <v>25</v>
      </c>
      <c r="B22" s="5" t="s">
        <v>49</v>
      </c>
      <c r="C22" s="7" t="s">
        <v>49</v>
      </c>
      <c r="D22" s="7" t="s">
        <v>52</v>
      </c>
      <c r="E22" s="7">
        <v>10.7</v>
      </c>
      <c r="F22" s="13">
        <f>(PI()*(E22/2)^2)/144</f>
        <v>0.62444608144009606</v>
      </c>
      <c r="G22" s="9">
        <f>N22/(4*F22)</f>
        <v>86.076286804525822</v>
      </c>
      <c r="H22" s="7">
        <v>360</v>
      </c>
      <c r="I22" s="7">
        <v>70</v>
      </c>
      <c r="J22" s="7">
        <v>300</v>
      </c>
      <c r="K22" s="7">
        <f>J22/1000</f>
        <v>0.3</v>
      </c>
      <c r="L22" s="12">
        <f>IF(H22&gt;0 &amp; I22&gt;0 &amp; J22&gt;0,H22*I22*J22/1000,0)</f>
        <v>7560</v>
      </c>
      <c r="M22" s="11">
        <f>SQRT(H22^2 + J22^2)</f>
        <v>468.61498055439927</v>
      </c>
      <c r="N22" s="7">
        <v>215</v>
      </c>
      <c r="O22" s="7">
        <v>23</v>
      </c>
      <c r="P22" s="7">
        <v>500</v>
      </c>
      <c r="Q22" s="7">
        <v>500</v>
      </c>
      <c r="R22" s="7">
        <v>20</v>
      </c>
      <c r="V22" s="7" t="s">
        <v>7</v>
      </c>
      <c r="W22" s="7">
        <v>100</v>
      </c>
      <c r="X22" s="7">
        <v>2</v>
      </c>
      <c r="Y22" s="7">
        <v>1700</v>
      </c>
      <c r="Z22" s="9">
        <f>(X22*3.7)*(Y22/1000)</f>
        <v>12.58</v>
      </c>
      <c r="AA22" s="7">
        <v>1</v>
      </c>
      <c r="AB22" s="7">
        <v>150</v>
      </c>
      <c r="AC22" s="7" t="s">
        <v>8</v>
      </c>
      <c r="AD22" s="7" t="s">
        <v>24</v>
      </c>
      <c r="AE22" s="7" t="s">
        <v>11</v>
      </c>
      <c r="AF22" s="7" t="s">
        <v>11</v>
      </c>
      <c r="AG22" s="7" t="s">
        <v>10</v>
      </c>
      <c r="AH22" s="7" t="s">
        <v>15</v>
      </c>
      <c r="AI22" s="7" t="s">
        <v>13</v>
      </c>
      <c r="AJ22" s="15" t="s">
        <v>53</v>
      </c>
    </row>
    <row r="23" spans="1:37" x14ac:dyDescent="0.25">
      <c r="A23" s="7">
        <v>26</v>
      </c>
      <c r="B23" s="5" t="s">
        <v>49</v>
      </c>
      <c r="C23" s="7" t="s">
        <v>49</v>
      </c>
      <c r="D23" s="7" t="s">
        <v>54</v>
      </c>
      <c r="E23" s="7">
        <v>10.5</v>
      </c>
      <c r="F23" s="13">
        <f>(PI()*(E23/2)^2)/144</f>
        <v>0.6013204688511713</v>
      </c>
      <c r="G23" s="9">
        <f>N23/(4*F23)</f>
        <v>191.2457765153224</v>
      </c>
      <c r="H23" s="7">
        <v>336</v>
      </c>
      <c r="I23" s="7">
        <v>56</v>
      </c>
      <c r="J23" s="7">
        <v>370</v>
      </c>
      <c r="K23" s="7">
        <f>J23/1000</f>
        <v>0.37</v>
      </c>
      <c r="L23" s="12">
        <f>IF(H23&gt;0 &amp; I23&gt;0 &amp; J23&gt;0,H23*I23*J23/1000,0)</f>
        <v>6961.92</v>
      </c>
      <c r="M23" s="11">
        <f>SQRT(H23^2 + J23^2)</f>
        <v>499.79595836701202</v>
      </c>
      <c r="N23" s="7">
        <v>460</v>
      </c>
      <c r="O23" s="7">
        <v>26</v>
      </c>
      <c r="P23" s="7">
        <v>900</v>
      </c>
      <c r="Q23" s="7">
        <v>900</v>
      </c>
      <c r="R23" s="7">
        <v>19.600000000000001</v>
      </c>
      <c r="V23" s="7" t="s">
        <v>7</v>
      </c>
      <c r="X23" s="7">
        <v>2</v>
      </c>
      <c r="Y23" s="7">
        <v>2800</v>
      </c>
      <c r="Z23" s="9">
        <f>(X23*3.7)*(Y23/1000)</f>
        <v>20.72</v>
      </c>
      <c r="AA23" s="7">
        <v>1</v>
      </c>
      <c r="AB23" s="7">
        <v>360</v>
      </c>
      <c r="AC23" s="7" t="s">
        <v>8</v>
      </c>
      <c r="AD23" s="7" t="s">
        <v>24</v>
      </c>
      <c r="AE23" s="7" t="s">
        <v>11</v>
      </c>
      <c r="AF23" s="7" t="s">
        <v>11</v>
      </c>
      <c r="AG23" s="7" t="s">
        <v>10</v>
      </c>
      <c r="AH23" s="7" t="s">
        <v>15</v>
      </c>
      <c r="AI23" s="7" t="s">
        <v>13</v>
      </c>
      <c r="AJ23" s="15" t="s">
        <v>55</v>
      </c>
      <c r="AK23" s="14" t="s">
        <v>165</v>
      </c>
    </row>
    <row r="24" spans="1:37" x14ac:dyDescent="0.25">
      <c r="A24" s="7">
        <v>27</v>
      </c>
      <c r="B24" s="5" t="s">
        <v>49</v>
      </c>
      <c r="C24" s="7" t="s">
        <v>49</v>
      </c>
      <c r="D24" s="7" t="s">
        <v>56</v>
      </c>
      <c r="E24" s="7">
        <v>10.7</v>
      </c>
      <c r="F24" s="13">
        <f>(PI()*(E24/2)^2)/144</f>
        <v>0.62444608144009606</v>
      </c>
      <c r="G24" s="9">
        <f>N24/(4*F24)</f>
        <v>70.462448733007193</v>
      </c>
      <c r="H24" s="7">
        <v>306</v>
      </c>
      <c r="I24" s="7">
        <v>91</v>
      </c>
      <c r="J24" s="7">
        <v>193</v>
      </c>
      <c r="K24" s="7">
        <f>J24/1000</f>
        <v>0.193</v>
      </c>
      <c r="L24" s="12">
        <f>IF(H24&gt;0 &amp; I24&gt;0 &amp; J24&gt;0,H24*I24*J24/1000,0)</f>
        <v>5374.2780000000002</v>
      </c>
      <c r="M24" s="11">
        <f>SQRT(H24^2 + J24^2)</f>
        <v>361.78032008388737</v>
      </c>
      <c r="N24" s="7">
        <v>176</v>
      </c>
      <c r="O24" s="7">
        <v>13</v>
      </c>
      <c r="P24" s="7">
        <v>300</v>
      </c>
      <c r="Q24" s="7">
        <v>300</v>
      </c>
      <c r="U24" s="7">
        <v>2</v>
      </c>
      <c r="V24" s="7" t="s">
        <v>7</v>
      </c>
      <c r="X24" s="7">
        <v>1</v>
      </c>
      <c r="Y24" s="7">
        <v>1500</v>
      </c>
      <c r="Z24" s="9">
        <f>(X24*3.7)*(Y24/1000)</f>
        <v>5.5500000000000007</v>
      </c>
      <c r="AA24" s="7">
        <v>1</v>
      </c>
      <c r="AB24" s="7">
        <v>180</v>
      </c>
      <c r="AC24" s="7" t="s">
        <v>8</v>
      </c>
      <c r="AD24" s="7" t="s">
        <v>24</v>
      </c>
      <c r="AE24" s="7" t="s">
        <v>11</v>
      </c>
      <c r="AF24" s="7" t="s">
        <v>11</v>
      </c>
      <c r="AG24" s="7" t="s">
        <v>11</v>
      </c>
      <c r="AH24" s="7" t="s">
        <v>15</v>
      </c>
      <c r="AI24" s="7">
        <v>1080</v>
      </c>
    </row>
    <row r="25" spans="1:37" x14ac:dyDescent="0.25">
      <c r="A25" s="7">
        <v>28</v>
      </c>
      <c r="B25" s="5" t="s">
        <v>49</v>
      </c>
      <c r="C25" s="7" t="s">
        <v>49</v>
      </c>
      <c r="D25" s="7" t="s">
        <v>57</v>
      </c>
      <c r="E25" s="7">
        <v>10.5</v>
      </c>
      <c r="F25" s="13">
        <f>(PI()*(E25/2)^2)/144</f>
        <v>0.6013204688511713</v>
      </c>
      <c r="G25" s="9">
        <f>N25/(4*F25)</f>
        <v>69.014780220746786</v>
      </c>
      <c r="H25" s="7">
        <v>289</v>
      </c>
      <c r="I25" s="7">
        <v>59</v>
      </c>
      <c r="J25" s="7">
        <v>195</v>
      </c>
      <c r="K25" s="7">
        <f>J25/1000</f>
        <v>0.19500000000000001</v>
      </c>
      <c r="L25" s="12">
        <f>IF(H25&gt;0 &amp; I25&gt;0 &amp; J25&gt;0,H25*I25*J25/1000,0)</f>
        <v>3324.9450000000002</v>
      </c>
      <c r="M25" s="11">
        <f>SQRT(H25^2 + J25^2)</f>
        <v>348.63447907514825</v>
      </c>
      <c r="N25" s="7">
        <v>166</v>
      </c>
      <c r="O25" s="7">
        <v>20</v>
      </c>
      <c r="P25" s="7">
        <v>100</v>
      </c>
      <c r="Q25" s="7">
        <v>100</v>
      </c>
      <c r="U25" s="7">
        <v>4</v>
      </c>
      <c r="V25" s="7" t="s">
        <v>7</v>
      </c>
      <c r="X25" s="7">
        <v>1</v>
      </c>
      <c r="Y25" s="7">
        <v>1900</v>
      </c>
      <c r="Z25" s="9">
        <f>(X25*3.7)*(Y25/1000)</f>
        <v>7.03</v>
      </c>
      <c r="AA25" s="7">
        <v>1</v>
      </c>
      <c r="AB25" s="7">
        <v>180</v>
      </c>
      <c r="AC25" s="7" t="s">
        <v>8</v>
      </c>
      <c r="AD25" s="7" t="s">
        <v>24</v>
      </c>
      <c r="AE25" s="7" t="s">
        <v>11</v>
      </c>
      <c r="AF25" s="7" t="s">
        <v>11</v>
      </c>
      <c r="AG25" s="7" t="s">
        <v>10</v>
      </c>
      <c r="AH25" s="7" t="s">
        <v>15</v>
      </c>
      <c r="AI25" s="7">
        <v>1080</v>
      </c>
    </row>
    <row r="26" spans="1:37" x14ac:dyDescent="0.2">
      <c r="A26" s="7">
        <v>29</v>
      </c>
      <c r="B26" s="5" t="s">
        <v>49</v>
      </c>
      <c r="C26" s="7" t="s">
        <v>49</v>
      </c>
      <c r="D26" s="7" t="s">
        <v>58</v>
      </c>
      <c r="E26" s="7">
        <v>12.6</v>
      </c>
      <c r="F26" s="13">
        <f>(PI()*(E26/2)^2)/144</f>
        <v>0.86590147514568672</v>
      </c>
      <c r="G26" s="9">
        <f>N26/(4*F26)</f>
        <v>43.596183958052059</v>
      </c>
      <c r="H26" s="7">
        <v>329</v>
      </c>
      <c r="I26" s="7">
        <v>53</v>
      </c>
      <c r="J26" s="7">
        <v>210</v>
      </c>
      <c r="K26" s="7">
        <f>J26/1000</f>
        <v>0.21</v>
      </c>
      <c r="L26" s="12">
        <f>IF(H26&gt;0 &amp; I26&gt;0 &amp; J26&gt;0,H26*I26*J26/1000,0)</f>
        <v>3661.77</v>
      </c>
      <c r="M26" s="11">
        <f>SQRT(H26^2 + J26^2)</f>
        <v>390.30885206461818</v>
      </c>
      <c r="N26" s="7">
        <v>151</v>
      </c>
      <c r="O26" s="7">
        <v>13</v>
      </c>
      <c r="P26" s="7">
        <v>100</v>
      </c>
      <c r="Q26" s="7">
        <v>100</v>
      </c>
      <c r="V26" s="7" t="s">
        <v>7</v>
      </c>
      <c r="W26" s="7">
        <v>130</v>
      </c>
      <c r="X26" s="7">
        <v>1</v>
      </c>
      <c r="Y26" s="7">
        <v>1300</v>
      </c>
      <c r="Z26" s="9">
        <f>(X26*3.7)*(Y26/1000)</f>
        <v>4.8100000000000005</v>
      </c>
      <c r="AA26" s="7">
        <v>1</v>
      </c>
      <c r="AB26" s="7">
        <v>70</v>
      </c>
      <c r="AC26" s="7" t="s">
        <v>8</v>
      </c>
      <c r="AD26" s="7" t="s">
        <v>24</v>
      </c>
      <c r="AE26" s="7" t="s">
        <v>11</v>
      </c>
      <c r="AF26" s="7" t="s">
        <v>11</v>
      </c>
      <c r="AG26" s="7" t="s">
        <v>10</v>
      </c>
      <c r="AH26" s="7" t="s">
        <v>15</v>
      </c>
      <c r="AI26" s="7">
        <v>1080</v>
      </c>
      <c r="AJ26" s="16" t="s">
        <v>199</v>
      </c>
    </row>
    <row r="27" spans="1:37" x14ac:dyDescent="0.25">
      <c r="A27" s="7">
        <v>30</v>
      </c>
      <c r="B27" s="5" t="s">
        <v>59</v>
      </c>
      <c r="C27" s="7" t="s">
        <v>59</v>
      </c>
      <c r="D27" s="7" t="s">
        <v>60</v>
      </c>
      <c r="E27" s="9">
        <f>14.3/2.54</f>
        <v>5.6299212598425195</v>
      </c>
      <c r="F27" s="13">
        <f>(PI()*(E27/2)^2)/144</f>
        <v>0.17287493545221361</v>
      </c>
      <c r="G27" s="9">
        <f>N27/(4*F27)</f>
        <v>867.67928275792917</v>
      </c>
      <c r="H27" s="7">
        <v>229.5</v>
      </c>
      <c r="I27" s="7">
        <v>73.599999999999994</v>
      </c>
      <c r="J27" s="7">
        <v>178</v>
      </c>
      <c r="K27" s="7">
        <f>J27/1000</f>
        <v>0.17799999999999999</v>
      </c>
      <c r="L27" s="12">
        <f>IF(H27&gt;0 &amp; I27&gt;0 &amp; J27&gt;0,H27*I27*J27/1000,0)</f>
        <v>3006.6335999999997</v>
      </c>
      <c r="M27" s="11">
        <v>260</v>
      </c>
      <c r="N27" s="7">
        <v>600</v>
      </c>
      <c r="O27" s="7">
        <v>40</v>
      </c>
      <c r="P27" s="7">
        <v>15000</v>
      </c>
      <c r="Q27" s="7">
        <v>5000</v>
      </c>
      <c r="R27" s="7">
        <v>16</v>
      </c>
      <c r="S27" s="7">
        <v>4</v>
      </c>
      <c r="T27" s="7">
        <v>3</v>
      </c>
      <c r="U27" s="7">
        <v>15</v>
      </c>
      <c r="V27" s="7" t="s">
        <v>27</v>
      </c>
      <c r="W27" s="7">
        <v>300</v>
      </c>
      <c r="X27" s="7">
        <v>4</v>
      </c>
      <c r="Y27" s="7">
        <v>4200</v>
      </c>
      <c r="Z27" s="9">
        <f>(X27*3.7)*(Y27/1000)</f>
        <v>62.160000000000004</v>
      </c>
      <c r="AA27" s="7">
        <v>1</v>
      </c>
      <c r="AB27" s="7">
        <v>120</v>
      </c>
      <c r="AC27" s="7" t="s">
        <v>8</v>
      </c>
      <c r="AD27" s="7" t="s">
        <v>28</v>
      </c>
      <c r="AE27" s="7" t="s">
        <v>10</v>
      </c>
      <c r="AF27" s="7" t="s">
        <v>10</v>
      </c>
      <c r="AG27" s="7" t="s">
        <v>10</v>
      </c>
      <c r="AH27" s="7" t="s">
        <v>15</v>
      </c>
      <c r="AI27" s="7" t="s">
        <v>13</v>
      </c>
    </row>
    <row r="28" spans="1:37" x14ac:dyDescent="0.25">
      <c r="A28" s="7">
        <v>31</v>
      </c>
      <c r="B28" s="5" t="s">
        <v>59</v>
      </c>
      <c r="C28" s="7" t="s">
        <v>59</v>
      </c>
      <c r="D28" s="7" t="s">
        <v>61</v>
      </c>
      <c r="E28" s="9">
        <f>12.56/2.54</f>
        <v>4.9448818897637796</v>
      </c>
      <c r="F28" s="13">
        <f>(PI()*(E28/2)^2)/144</f>
        <v>0.1333641909988475</v>
      </c>
      <c r="G28" s="9">
        <f>N28/(4*F28)</f>
        <v>487.38720276540886</v>
      </c>
      <c r="H28" s="7">
        <v>202.54</v>
      </c>
      <c r="I28" s="7">
        <v>61.6</v>
      </c>
      <c r="J28" s="7">
        <v>161.19999999999999</v>
      </c>
      <c r="K28" s="7">
        <f>J28/1000</f>
        <v>0.16119999999999998</v>
      </c>
      <c r="L28" s="12">
        <f>IF(H28&gt;0 &amp; I28&gt;0 &amp; J28&gt;0,H28*I28*J28/1000,0)</f>
        <v>2011.2059967999999</v>
      </c>
      <c r="M28" s="11">
        <v>220</v>
      </c>
      <c r="N28" s="7">
        <v>260</v>
      </c>
      <c r="O28" s="7">
        <v>40</v>
      </c>
      <c r="P28" s="7">
        <v>15000</v>
      </c>
      <c r="Q28" s="7">
        <v>4000</v>
      </c>
      <c r="R28" s="7">
        <v>16</v>
      </c>
      <c r="S28" s="7">
        <v>4</v>
      </c>
      <c r="T28" s="7">
        <v>3.5</v>
      </c>
      <c r="U28" s="7">
        <v>10.5</v>
      </c>
      <c r="V28" s="7" t="s">
        <v>27</v>
      </c>
      <c r="W28" s="7">
        <v>100</v>
      </c>
      <c r="X28" s="7">
        <v>2</v>
      </c>
      <c r="Y28" s="7">
        <v>3000</v>
      </c>
      <c r="Z28" s="9">
        <f>(X28*3.7)*(Y28/1000)</f>
        <v>22.200000000000003</v>
      </c>
      <c r="AA28" s="7">
        <v>1</v>
      </c>
      <c r="AB28" s="7">
        <v>90</v>
      </c>
      <c r="AC28" s="7" t="s">
        <v>8</v>
      </c>
      <c r="AD28" s="7" t="s">
        <v>28</v>
      </c>
      <c r="AE28" s="7" t="s">
        <v>10</v>
      </c>
      <c r="AF28" s="7" t="s">
        <v>10</v>
      </c>
      <c r="AG28" s="7" t="s">
        <v>10</v>
      </c>
      <c r="AH28" s="7" t="s">
        <v>15</v>
      </c>
      <c r="AI28" s="7" t="s">
        <v>13</v>
      </c>
    </row>
    <row r="29" spans="1:37" x14ac:dyDescent="0.25">
      <c r="A29" s="7">
        <v>32</v>
      </c>
      <c r="B29" s="5" t="s">
        <v>59</v>
      </c>
      <c r="C29" s="7" t="s">
        <v>59</v>
      </c>
      <c r="D29" s="7" t="s">
        <v>62</v>
      </c>
      <c r="E29" s="9">
        <f>15.86/2.54</f>
        <v>6.2440944881889759</v>
      </c>
      <c r="F29" s="13">
        <f>(PI()*(E29/2)^2)/144</f>
        <v>0.21265045779097083</v>
      </c>
      <c r="G29" s="9">
        <f>N29/(4*F29)</f>
        <v>705.38291597493571</v>
      </c>
      <c r="H29" s="7">
        <v>229.55</v>
      </c>
      <c r="I29" s="7">
        <v>73.599999999999994</v>
      </c>
      <c r="J29" s="7">
        <v>178</v>
      </c>
      <c r="K29" s="7">
        <f>J29/1000</f>
        <v>0.17799999999999999</v>
      </c>
      <c r="L29" s="12">
        <f>IF(H29&gt;0 &amp; I29&gt;0 &amp; J29&gt;0,H29*I29*J29/1000,0)</f>
        <v>3007.2886400000002</v>
      </c>
      <c r="M29" s="11">
        <v>266</v>
      </c>
      <c r="N29" s="7">
        <v>600</v>
      </c>
      <c r="O29" s="7">
        <v>37</v>
      </c>
      <c r="P29" s="7">
        <v>9000</v>
      </c>
      <c r="Q29" s="7">
        <v>5000</v>
      </c>
      <c r="R29" s="7">
        <v>10</v>
      </c>
      <c r="S29" s="7">
        <v>4</v>
      </c>
      <c r="T29" s="7">
        <v>3</v>
      </c>
      <c r="U29" s="7">
        <v>15</v>
      </c>
      <c r="V29" s="7" t="s">
        <v>7</v>
      </c>
      <c r="W29" s="7">
        <v>230</v>
      </c>
      <c r="X29" s="7">
        <v>4</v>
      </c>
      <c r="Y29" s="7">
        <v>3200</v>
      </c>
      <c r="Z29" s="9">
        <f>(X29*3.7)*(Y29/1000)</f>
        <v>47.360000000000007</v>
      </c>
      <c r="AA29" s="7">
        <v>1</v>
      </c>
      <c r="AB29" s="7">
        <v>120</v>
      </c>
      <c r="AC29" s="7" t="s">
        <v>8</v>
      </c>
      <c r="AD29" s="7" t="s">
        <v>28</v>
      </c>
      <c r="AE29" s="7" t="s">
        <v>10</v>
      </c>
      <c r="AF29" s="7" t="s">
        <v>10</v>
      </c>
      <c r="AG29" s="7" t="s">
        <v>10</v>
      </c>
      <c r="AH29" s="7" t="s">
        <v>15</v>
      </c>
      <c r="AI29" s="7" t="s">
        <v>13</v>
      </c>
    </row>
    <row r="30" spans="1:37" x14ac:dyDescent="0.25">
      <c r="A30" s="7">
        <v>33</v>
      </c>
      <c r="B30" s="5" t="s">
        <v>59</v>
      </c>
      <c r="C30" s="7" t="s">
        <v>59</v>
      </c>
      <c r="D30" s="7" t="s">
        <v>63</v>
      </c>
      <c r="E30" s="9">
        <f>14.3/2.54</f>
        <v>5.6299212598425195</v>
      </c>
      <c r="F30" s="13">
        <f>(PI()*(E30/2)^2)/144</f>
        <v>0.17287493545221361</v>
      </c>
      <c r="G30" s="9">
        <f>N30/(4*F30)</f>
        <v>785.2497508959259</v>
      </c>
      <c r="H30" s="7">
        <v>182</v>
      </c>
      <c r="I30" s="7">
        <v>73</v>
      </c>
      <c r="J30" s="7">
        <v>176.5</v>
      </c>
      <c r="K30" s="7">
        <f>J30/1000</f>
        <v>0.17649999999999999</v>
      </c>
      <c r="L30" s="12">
        <f>IF(H30&gt;0 &amp; I30&gt;0 &amp; J30&gt;0,H30*I30*J30/1000,0)</f>
        <v>2344.9789999999998</v>
      </c>
      <c r="M30" s="11">
        <v>246</v>
      </c>
      <c r="N30" s="7">
        <v>543</v>
      </c>
      <c r="O30" s="7">
        <v>35</v>
      </c>
      <c r="P30" s="7">
        <v>10000</v>
      </c>
      <c r="Q30" s="7">
        <v>5800</v>
      </c>
      <c r="R30" s="7">
        <v>16</v>
      </c>
      <c r="S30" s="7">
        <v>4</v>
      </c>
      <c r="T30" s="7">
        <v>3</v>
      </c>
      <c r="U30" s="7">
        <v>20</v>
      </c>
      <c r="V30" s="7" t="s">
        <v>27</v>
      </c>
      <c r="W30" s="7">
        <v>233</v>
      </c>
      <c r="X30" s="7">
        <v>3</v>
      </c>
      <c r="Y30" s="7">
        <v>3800</v>
      </c>
      <c r="Z30" s="9">
        <f>(X30*3.7)*(Y30/1000)</f>
        <v>42.180000000000007</v>
      </c>
      <c r="AA30" s="7">
        <v>1</v>
      </c>
      <c r="AB30" s="7">
        <v>90</v>
      </c>
      <c r="AC30" s="7" t="s">
        <v>8</v>
      </c>
      <c r="AD30" s="7" t="s">
        <v>28</v>
      </c>
      <c r="AE30" s="7" t="s">
        <v>10</v>
      </c>
      <c r="AF30" s="7" t="s">
        <v>10</v>
      </c>
      <c r="AG30" s="7" t="s">
        <v>10</v>
      </c>
      <c r="AH30" s="7" t="s">
        <v>15</v>
      </c>
      <c r="AI30" s="7" t="s">
        <v>13</v>
      </c>
    </row>
    <row r="31" spans="1:37" x14ac:dyDescent="0.25">
      <c r="A31" s="7">
        <v>34</v>
      </c>
      <c r="B31" s="5" t="s">
        <v>59</v>
      </c>
      <c r="C31" s="7" t="s">
        <v>59</v>
      </c>
      <c r="D31" s="7" t="s">
        <v>64</v>
      </c>
      <c r="E31" s="9">
        <f>14.3/2.54</f>
        <v>5.6299212598425195</v>
      </c>
      <c r="F31" s="13">
        <f>(PI()*(E31/2)^2)/144</f>
        <v>0.17287493545221361</v>
      </c>
      <c r="G31" s="9">
        <f>N31/(4*F31)</f>
        <v>785.2497508959259</v>
      </c>
      <c r="H31" s="7">
        <v>182</v>
      </c>
      <c r="I31" s="7">
        <v>73</v>
      </c>
      <c r="J31" s="7">
        <v>176.5</v>
      </c>
      <c r="K31" s="7">
        <f>J31/1000</f>
        <v>0.17649999999999999</v>
      </c>
      <c r="L31" s="12">
        <f>IF(H31&gt;0 &amp; I31&gt;0 &amp; J31&gt;0,H31*I31*J31/1000,0)</f>
        <v>2344.9789999999998</v>
      </c>
      <c r="M31" s="11">
        <v>246</v>
      </c>
      <c r="N31" s="7">
        <v>543</v>
      </c>
      <c r="O31" s="7">
        <v>35</v>
      </c>
      <c r="P31" s="7">
        <v>10000</v>
      </c>
      <c r="Q31" s="7">
        <v>5000</v>
      </c>
      <c r="R31" s="7">
        <v>16</v>
      </c>
      <c r="S31" s="7">
        <v>4</v>
      </c>
      <c r="T31" s="7">
        <v>3</v>
      </c>
      <c r="U31" s="7">
        <v>16</v>
      </c>
      <c r="V31" s="7" t="s">
        <v>27</v>
      </c>
      <c r="W31" s="7">
        <v>233</v>
      </c>
      <c r="X31" s="7">
        <v>3</v>
      </c>
      <c r="Y31" s="7">
        <v>3800</v>
      </c>
      <c r="Z31" s="9">
        <f>(X31*3.7)*(Y31/1000)</f>
        <v>42.180000000000007</v>
      </c>
      <c r="AA31" s="7">
        <v>1</v>
      </c>
      <c r="AB31" s="7">
        <v>90</v>
      </c>
      <c r="AC31" s="7" t="s">
        <v>8</v>
      </c>
      <c r="AD31" s="7" t="s">
        <v>28</v>
      </c>
      <c r="AE31" s="7" t="s">
        <v>10</v>
      </c>
      <c r="AF31" s="7" t="s">
        <v>10</v>
      </c>
      <c r="AG31" s="7" t="s">
        <v>10</v>
      </c>
      <c r="AH31" s="7" t="s">
        <v>15</v>
      </c>
      <c r="AI31" s="7" t="s">
        <v>13</v>
      </c>
    </row>
    <row r="32" spans="1:37" x14ac:dyDescent="0.25">
      <c r="A32" s="7">
        <v>35</v>
      </c>
      <c r="B32" s="5" t="s">
        <v>59</v>
      </c>
      <c r="C32" s="7" t="s">
        <v>59</v>
      </c>
      <c r="D32" s="7" t="s">
        <v>65</v>
      </c>
      <c r="E32" s="9">
        <f>14.3/2.54</f>
        <v>5.6299212598425195</v>
      </c>
      <c r="F32" s="13">
        <f>(PI()*(E32/2)^2)/144</f>
        <v>0.17287493545221361</v>
      </c>
      <c r="G32" s="9">
        <f>N32/(4*F32)</f>
        <v>785.2497508959259</v>
      </c>
      <c r="H32" s="7">
        <v>182</v>
      </c>
      <c r="I32" s="7">
        <v>73</v>
      </c>
      <c r="J32" s="7">
        <v>176.5</v>
      </c>
      <c r="K32" s="7">
        <f>J32/1000</f>
        <v>0.17649999999999999</v>
      </c>
      <c r="L32" s="12">
        <f>IF(H32&gt;0 &amp; I32&gt;0 &amp; J32&gt;0,H32*I32*J32/1000,0)</f>
        <v>2344.9789999999998</v>
      </c>
      <c r="M32" s="11">
        <v>246</v>
      </c>
      <c r="N32" s="7">
        <v>543</v>
      </c>
      <c r="O32" s="7">
        <v>35</v>
      </c>
      <c r="P32" s="7">
        <v>10000</v>
      </c>
      <c r="Q32" s="7">
        <v>5000</v>
      </c>
      <c r="R32" s="7">
        <v>16</v>
      </c>
      <c r="S32" s="7">
        <v>4</v>
      </c>
      <c r="T32" s="7">
        <v>3</v>
      </c>
      <c r="U32" s="7">
        <v>16</v>
      </c>
      <c r="V32" s="7" t="s">
        <v>27</v>
      </c>
      <c r="W32" s="7">
        <v>233</v>
      </c>
      <c r="X32" s="7">
        <v>3</v>
      </c>
      <c r="Y32" s="7">
        <v>3800</v>
      </c>
      <c r="Z32" s="9">
        <f>(X32*3.7)*(Y32/1000)</f>
        <v>42.180000000000007</v>
      </c>
      <c r="AA32" s="7">
        <v>1</v>
      </c>
      <c r="AB32" s="7">
        <v>90</v>
      </c>
      <c r="AC32" s="7" t="s">
        <v>8</v>
      </c>
      <c r="AD32" s="7" t="s">
        <v>28</v>
      </c>
      <c r="AE32" s="7" t="s">
        <v>11</v>
      </c>
      <c r="AF32" s="7" t="s">
        <v>11</v>
      </c>
      <c r="AG32" s="7" t="s">
        <v>10</v>
      </c>
      <c r="AH32" s="7" t="s">
        <v>15</v>
      </c>
      <c r="AI32" s="7" t="s">
        <v>13</v>
      </c>
    </row>
    <row r="33" spans="1:37" x14ac:dyDescent="0.25">
      <c r="A33" s="7">
        <v>36</v>
      </c>
      <c r="B33" s="5" t="s">
        <v>59</v>
      </c>
      <c r="C33" s="7" t="s">
        <v>59</v>
      </c>
      <c r="D33" s="7" t="s">
        <v>66</v>
      </c>
      <c r="E33" s="9">
        <f>12.56/2.54</f>
        <v>4.9448818897637796</v>
      </c>
      <c r="F33" s="13">
        <f>(PI()*(E33/2)^2)/144</f>
        <v>0.1333641909988475</v>
      </c>
      <c r="G33" s="9">
        <f>N33/(4*F33)</f>
        <v>466.76697495610307</v>
      </c>
      <c r="H33" s="7">
        <v>202.54</v>
      </c>
      <c r="I33" s="7">
        <v>61.6</v>
      </c>
      <c r="J33" s="7">
        <v>161.19999999999999</v>
      </c>
      <c r="K33" s="7">
        <f>J33/1000</f>
        <v>0.16119999999999998</v>
      </c>
      <c r="L33" s="12">
        <f>IF(H33&gt;0 &amp; I33&gt;0 &amp; J33&gt;0,H33*I33*J33/1000,0)</f>
        <v>2011.2059967999999</v>
      </c>
      <c r="M33" s="11">
        <v>220</v>
      </c>
      <c r="N33" s="7">
        <v>249</v>
      </c>
      <c r="O33" s="7">
        <v>40</v>
      </c>
      <c r="P33" s="7">
        <v>10000</v>
      </c>
      <c r="Q33" s="7">
        <v>4000</v>
      </c>
      <c r="R33" s="7">
        <v>16</v>
      </c>
      <c r="S33" s="7">
        <v>4</v>
      </c>
      <c r="T33" s="7">
        <v>3.5</v>
      </c>
      <c r="U33" s="7">
        <v>10.5</v>
      </c>
      <c r="V33" s="7" t="s">
        <v>27</v>
      </c>
      <c r="W33" s="7">
        <v>102</v>
      </c>
      <c r="X33" s="7">
        <v>2</v>
      </c>
      <c r="Y33" s="7">
        <v>3000</v>
      </c>
      <c r="Z33" s="9">
        <f>(X33*3.7)*(Y33/1000)</f>
        <v>22.200000000000003</v>
      </c>
      <c r="AA33" s="7">
        <v>1</v>
      </c>
      <c r="AB33" s="7">
        <v>90</v>
      </c>
      <c r="AC33" s="7" t="s">
        <v>8</v>
      </c>
      <c r="AD33" s="7" t="s">
        <v>9</v>
      </c>
      <c r="AE33" s="7" t="s">
        <v>10</v>
      </c>
      <c r="AF33" s="7" t="s">
        <v>10</v>
      </c>
      <c r="AG33" s="7" t="s">
        <v>10</v>
      </c>
      <c r="AH33" s="7" t="s">
        <v>15</v>
      </c>
      <c r="AI33" s="7" t="s">
        <v>13</v>
      </c>
    </row>
    <row r="34" spans="1:37" x14ac:dyDescent="0.25">
      <c r="A34" s="7">
        <v>37</v>
      </c>
      <c r="B34" s="5" t="s">
        <v>59</v>
      </c>
      <c r="C34" s="7" t="s">
        <v>59</v>
      </c>
      <c r="D34" s="7" t="s">
        <v>67</v>
      </c>
      <c r="E34" s="9">
        <f>12.56/2.54</f>
        <v>4.9448818897637796</v>
      </c>
      <c r="F34" s="13">
        <f>(PI()*(E34/2)^2)/144</f>
        <v>0.1333641909988475</v>
      </c>
      <c r="G34" s="9">
        <f>N34/(4*F34)</f>
        <v>466.76697495610307</v>
      </c>
      <c r="H34" s="7">
        <v>202.54</v>
      </c>
      <c r="I34" s="7">
        <v>61.6</v>
      </c>
      <c r="J34" s="7">
        <v>161.19999999999999</v>
      </c>
      <c r="K34" s="7">
        <f>J34/1000</f>
        <v>0.16119999999999998</v>
      </c>
      <c r="L34" s="12">
        <f>IF(H34&gt;0 &amp; I34&gt;0 &amp; J34&gt;0,H34*I34*J34/1000,0)</f>
        <v>2011.2059967999999</v>
      </c>
      <c r="M34" s="11">
        <v>220</v>
      </c>
      <c r="N34" s="7">
        <v>249</v>
      </c>
      <c r="O34" s="7">
        <v>45</v>
      </c>
      <c r="P34" s="7">
        <v>9000</v>
      </c>
      <c r="Q34" s="7">
        <v>4000</v>
      </c>
      <c r="R34" s="7">
        <v>14</v>
      </c>
      <c r="S34" s="7">
        <v>4</v>
      </c>
      <c r="T34" s="7">
        <v>3.5</v>
      </c>
      <c r="U34" s="7">
        <v>10.5</v>
      </c>
      <c r="V34" s="7" t="s">
        <v>27</v>
      </c>
      <c r="W34" s="7">
        <v>99.8</v>
      </c>
      <c r="X34" s="7">
        <v>2</v>
      </c>
      <c r="Y34" s="7">
        <v>3000</v>
      </c>
      <c r="Z34" s="9">
        <f>(X34*3.7)*(Y34/1000)</f>
        <v>22.200000000000003</v>
      </c>
      <c r="AA34" s="7">
        <v>1</v>
      </c>
      <c r="AB34" s="7">
        <v>90</v>
      </c>
      <c r="AC34" s="7" t="s">
        <v>8</v>
      </c>
      <c r="AD34" s="7" t="s">
        <v>9</v>
      </c>
      <c r="AE34" s="7" t="s">
        <v>11</v>
      </c>
      <c r="AF34" s="7" t="s">
        <v>11</v>
      </c>
      <c r="AG34" s="7" t="s">
        <v>10</v>
      </c>
      <c r="AH34" s="7" t="s">
        <v>15</v>
      </c>
      <c r="AI34" s="7" t="s">
        <v>13</v>
      </c>
    </row>
    <row r="35" spans="1:37" x14ac:dyDescent="0.25">
      <c r="A35" s="7">
        <v>38</v>
      </c>
      <c r="B35" s="5" t="s">
        <v>59</v>
      </c>
      <c r="C35" s="7" t="s">
        <v>59</v>
      </c>
      <c r="D35" s="7" t="s">
        <v>68</v>
      </c>
      <c r="E35" s="7">
        <v>8</v>
      </c>
      <c r="F35" s="13">
        <f>(PI()*(E35/2)^2)/144</f>
        <v>0.3490658503988659</v>
      </c>
      <c r="G35" s="9">
        <f>N35/(4*F35)</f>
        <v>567.22821717951501</v>
      </c>
      <c r="H35" s="7">
        <v>304</v>
      </c>
      <c r="I35" s="7">
        <v>90</v>
      </c>
      <c r="J35" s="7">
        <v>254</v>
      </c>
      <c r="K35" s="7">
        <f>J35/1000</f>
        <v>0.254</v>
      </c>
      <c r="L35" s="12">
        <f>IF(H35&gt;0 &amp; I35&gt;0 &amp; J35&gt;0,H35*I35*J35/1000,0)</f>
        <v>6949.44</v>
      </c>
      <c r="M35" s="11">
        <f>SQRT(H35^2 + J35^2)</f>
        <v>396.14643757075487</v>
      </c>
      <c r="N35" s="7">
        <v>792</v>
      </c>
      <c r="O35" s="7">
        <v>43</v>
      </c>
      <c r="P35" s="7">
        <v>10000</v>
      </c>
      <c r="Q35" s="7">
        <v>4000</v>
      </c>
      <c r="R35" s="7">
        <v>10</v>
      </c>
      <c r="U35" s="7">
        <v>16</v>
      </c>
      <c r="V35" s="7" t="s">
        <v>7</v>
      </c>
      <c r="X35" s="7">
        <v>3</v>
      </c>
      <c r="Y35" s="7">
        <v>5000</v>
      </c>
      <c r="Z35" s="9">
        <f>(X35*3.7)*(Y35/1000)</f>
        <v>55.500000000000007</v>
      </c>
      <c r="AA35" s="7">
        <v>1</v>
      </c>
      <c r="AC35" s="7" t="s">
        <v>8</v>
      </c>
      <c r="AD35" s="7" t="s">
        <v>9</v>
      </c>
      <c r="AE35" s="7" t="s">
        <v>10</v>
      </c>
      <c r="AF35" s="7" t="s">
        <v>11</v>
      </c>
      <c r="AG35" s="7" t="s">
        <v>10</v>
      </c>
      <c r="AH35" s="7" t="s">
        <v>15</v>
      </c>
      <c r="AI35" s="7" t="s">
        <v>13</v>
      </c>
    </row>
    <row r="36" spans="1:37" x14ac:dyDescent="0.25">
      <c r="A36" s="7">
        <v>39</v>
      </c>
      <c r="B36" s="5" t="s">
        <v>69</v>
      </c>
      <c r="C36" s="7" t="s">
        <v>69</v>
      </c>
      <c r="D36" s="7" t="s">
        <v>70</v>
      </c>
      <c r="E36" s="7">
        <v>15.4</v>
      </c>
      <c r="F36" s="13">
        <f>(PI()*(E36/2)^2)/144</f>
        <v>1.2935071418842976</v>
      </c>
      <c r="G36" s="9">
        <f>N36/(4*F36)</f>
        <v>434.86423985304509</v>
      </c>
      <c r="H36" s="7">
        <v>682</v>
      </c>
      <c r="I36" s="7">
        <v>170.5</v>
      </c>
      <c r="J36" s="7">
        <v>682</v>
      </c>
      <c r="K36" s="7">
        <f>J36/1000</f>
        <v>0.68200000000000005</v>
      </c>
      <c r="L36" s="12">
        <f>IF(H36&gt;0 &amp; I36&gt;0 &amp; J36&gt;0,H36*I36*J36/1000,0)</f>
        <v>79303.642000000007</v>
      </c>
      <c r="M36" s="11">
        <f>SQRT(H36^2 + J36^2)</f>
        <v>964.49364953845077</v>
      </c>
      <c r="N36" s="7">
        <v>2250</v>
      </c>
      <c r="O36" s="7">
        <v>35</v>
      </c>
      <c r="P36" s="7">
        <v>6500</v>
      </c>
      <c r="Q36" s="7">
        <v>6000</v>
      </c>
      <c r="R36" s="7">
        <v>16</v>
      </c>
      <c r="S36" s="7">
        <v>6</v>
      </c>
      <c r="T36" s="7">
        <v>3</v>
      </c>
      <c r="V36" s="7" t="s">
        <v>7</v>
      </c>
      <c r="W36" s="7">
        <v>720</v>
      </c>
      <c r="X36" s="7">
        <v>6</v>
      </c>
      <c r="Y36" s="7">
        <v>6000</v>
      </c>
      <c r="Z36" s="9">
        <f>(X36*3.7)*(Y36/1000)</f>
        <v>133.20000000000002</v>
      </c>
      <c r="AA36" s="7">
        <v>1</v>
      </c>
      <c r="AB36" s="7">
        <v>40</v>
      </c>
      <c r="AC36" s="7" t="s">
        <v>8</v>
      </c>
      <c r="AD36" s="7" t="s">
        <v>28</v>
      </c>
      <c r="AE36" s="7" t="s">
        <v>10</v>
      </c>
      <c r="AF36" s="7" t="s">
        <v>11</v>
      </c>
      <c r="AG36" s="7" t="s">
        <v>10</v>
      </c>
      <c r="AH36" s="7" t="s">
        <v>15</v>
      </c>
      <c r="AI36" s="7" t="s">
        <v>13</v>
      </c>
    </row>
    <row r="37" spans="1:37" x14ac:dyDescent="0.2">
      <c r="A37" s="7">
        <v>40</v>
      </c>
      <c r="B37" s="5" t="s">
        <v>22</v>
      </c>
      <c r="C37" s="7" t="s">
        <v>22</v>
      </c>
      <c r="D37" s="7" t="s">
        <v>71</v>
      </c>
      <c r="E37" s="7">
        <v>13</v>
      </c>
      <c r="F37" s="13">
        <f>(PI()*(E37/2)^2)/144</f>
        <v>0.92175201120950534</v>
      </c>
      <c r="G37" s="9">
        <f>N37/(4*F37)</f>
        <v>359.36997801104889</v>
      </c>
      <c r="H37" s="7">
        <v>660</v>
      </c>
      <c r="I37" s="7">
        <v>200</v>
      </c>
      <c r="J37" s="7">
        <v>560</v>
      </c>
      <c r="K37" s="7">
        <f>J37/1000</f>
        <v>0.56000000000000005</v>
      </c>
      <c r="L37" s="12">
        <f>IF(H37&gt;0 &amp; I37&gt;0 &amp; J37&gt;0,H37*I37*J37/1000,0)</f>
        <v>73920</v>
      </c>
      <c r="M37" s="11">
        <f>SQRT(H37^2 + J37^2)</f>
        <v>865.56340033529602</v>
      </c>
      <c r="N37" s="7">
        <v>1325</v>
      </c>
      <c r="O37" s="7">
        <v>35</v>
      </c>
      <c r="P37" s="7">
        <v>6000</v>
      </c>
      <c r="Q37" s="7">
        <v>3500</v>
      </c>
      <c r="R37" s="7">
        <v>11</v>
      </c>
      <c r="U37" s="7">
        <v>10</v>
      </c>
      <c r="V37" s="7" t="s">
        <v>27</v>
      </c>
      <c r="X37" s="7">
        <v>3</v>
      </c>
      <c r="Y37" s="7">
        <v>4820</v>
      </c>
      <c r="Z37" s="9">
        <f>(X37*3.7)*(Y37/1000)</f>
        <v>53.50200000000001</v>
      </c>
      <c r="AA37" s="7">
        <v>1</v>
      </c>
      <c r="AC37" s="7" t="s">
        <v>21</v>
      </c>
      <c r="AD37" s="7" t="s">
        <v>24</v>
      </c>
      <c r="AE37" s="7" t="s">
        <v>10</v>
      </c>
      <c r="AF37" s="7" t="s">
        <v>11</v>
      </c>
      <c r="AG37" s="7" t="s">
        <v>10</v>
      </c>
      <c r="AH37" s="7" t="s">
        <v>15</v>
      </c>
      <c r="AI37" s="7" t="s">
        <v>13</v>
      </c>
      <c r="AJ37" s="16" t="s">
        <v>72</v>
      </c>
    </row>
    <row r="38" spans="1:37" x14ac:dyDescent="0.2">
      <c r="A38" s="7">
        <v>41</v>
      </c>
      <c r="B38" s="5" t="s">
        <v>73</v>
      </c>
      <c r="C38" s="7" t="s">
        <v>69</v>
      </c>
      <c r="D38" s="7" t="s">
        <v>74</v>
      </c>
      <c r="E38" s="7">
        <v>13</v>
      </c>
      <c r="F38" s="13">
        <f>(PI()*(E38/2)^2)/144</f>
        <v>0.92175201120950534</v>
      </c>
      <c r="G38" s="9">
        <f>N38/(4*F38)</f>
        <v>291.56432178254909</v>
      </c>
      <c r="H38" s="7">
        <v>682</v>
      </c>
      <c r="I38" s="7">
        <v>177</v>
      </c>
      <c r="J38" s="7">
        <v>682</v>
      </c>
      <c r="K38" s="7">
        <f>J38/1000</f>
        <v>0.68200000000000005</v>
      </c>
      <c r="L38" s="12">
        <f>IF(H38&gt;0 &amp; I38&gt;0 &amp; J38&gt;0,H38*I38*J38/1000,0)</f>
        <v>82326.948000000004</v>
      </c>
      <c r="M38" s="11">
        <f>SQRT(H38^2 + J38^2)</f>
        <v>964.49364953845077</v>
      </c>
      <c r="N38" s="7">
        <v>1075</v>
      </c>
      <c r="O38" s="7">
        <v>25</v>
      </c>
      <c r="P38" s="7">
        <v>5000</v>
      </c>
      <c r="Q38" s="7">
        <v>6000</v>
      </c>
      <c r="R38" s="7">
        <v>10</v>
      </c>
      <c r="S38" s="7">
        <v>4</v>
      </c>
      <c r="T38" s="7">
        <v>2</v>
      </c>
      <c r="U38" s="7">
        <v>8</v>
      </c>
      <c r="V38" s="7" t="s">
        <v>7</v>
      </c>
      <c r="W38" s="7">
        <v>720</v>
      </c>
      <c r="X38" s="7">
        <v>6</v>
      </c>
      <c r="Y38" s="7">
        <v>6000</v>
      </c>
      <c r="Z38" s="9">
        <f>(X38*3.7)*(Y38/1000)</f>
        <v>133.20000000000002</v>
      </c>
      <c r="AA38" s="7">
        <v>1</v>
      </c>
      <c r="AC38" s="7" t="s">
        <v>8</v>
      </c>
      <c r="AD38" s="7" t="s">
        <v>75</v>
      </c>
      <c r="AE38" s="7" t="s">
        <v>10</v>
      </c>
      <c r="AF38" s="7" t="s">
        <v>11</v>
      </c>
      <c r="AG38" s="7" t="s">
        <v>10</v>
      </c>
      <c r="AH38" s="7" t="s">
        <v>15</v>
      </c>
      <c r="AI38" s="7" t="s">
        <v>76</v>
      </c>
      <c r="AJ38" s="16" t="s">
        <v>77</v>
      </c>
      <c r="AK38" s="16" t="s">
        <v>200</v>
      </c>
    </row>
    <row r="39" spans="1:37" x14ac:dyDescent="0.25">
      <c r="A39" s="7">
        <v>42</v>
      </c>
      <c r="B39" s="5" t="s">
        <v>4</v>
      </c>
      <c r="C39" s="7" t="s">
        <v>5</v>
      </c>
      <c r="D39" s="7" t="s">
        <v>78</v>
      </c>
      <c r="E39" s="7">
        <v>6</v>
      </c>
      <c r="F39" s="13">
        <f>(PI()*(E39/2)^2)/144</f>
        <v>0.19634954084936207</v>
      </c>
      <c r="G39" s="9">
        <f>N39/(4*F39)</f>
        <v>315.76340709432037</v>
      </c>
      <c r="H39" s="7">
        <v>251</v>
      </c>
      <c r="I39" s="7">
        <v>72</v>
      </c>
      <c r="J39" s="7">
        <v>362</v>
      </c>
      <c r="K39" s="7">
        <f>J39/1000</f>
        <v>0.36199999999999999</v>
      </c>
      <c r="L39" s="12">
        <f>IF(H39&gt;0 &amp; I39&gt;0 &amp; J39&gt;0,H39*I39*J39/1000,0)</f>
        <v>6542.0640000000003</v>
      </c>
      <c r="M39" s="11">
        <f>SQRT(H39^2 + J39^2)</f>
        <v>440.50539156745856</v>
      </c>
      <c r="N39" s="7">
        <v>248</v>
      </c>
      <c r="O39" s="7">
        <v>51</v>
      </c>
      <c r="P39" s="7">
        <v>25000</v>
      </c>
      <c r="Q39" s="7">
        <v>4000</v>
      </c>
      <c r="R39" s="7">
        <v>16</v>
      </c>
      <c r="S39" s="7">
        <v>5</v>
      </c>
      <c r="T39" s="7">
        <v>3.5</v>
      </c>
      <c r="U39" s="7">
        <v>10.7</v>
      </c>
      <c r="V39" s="7" t="s">
        <v>27</v>
      </c>
      <c r="W39" s="7">
        <v>121</v>
      </c>
      <c r="X39" s="7">
        <v>2</v>
      </c>
      <c r="Y39" s="7">
        <v>3850</v>
      </c>
      <c r="Z39" s="9">
        <f>(X39*3.7)*(Y39/1000)</f>
        <v>28.490000000000002</v>
      </c>
      <c r="AA39" s="7">
        <v>1</v>
      </c>
      <c r="AB39" s="7">
        <v>90</v>
      </c>
      <c r="AC39" s="7" t="s">
        <v>8</v>
      </c>
      <c r="AD39" s="7" t="s">
        <v>19</v>
      </c>
      <c r="AE39" s="7" t="s">
        <v>11</v>
      </c>
      <c r="AF39" s="7" t="s">
        <v>11</v>
      </c>
      <c r="AG39" s="7" t="s">
        <v>10</v>
      </c>
      <c r="AH39" s="7" t="s">
        <v>15</v>
      </c>
      <c r="AI39" s="7" t="s">
        <v>13</v>
      </c>
    </row>
    <row r="40" spans="1:37" x14ac:dyDescent="0.25">
      <c r="A40" s="7">
        <v>43</v>
      </c>
      <c r="B40" s="5" t="s">
        <v>4</v>
      </c>
      <c r="C40" s="7" t="s">
        <v>5</v>
      </c>
      <c r="D40" s="7" t="s">
        <v>79</v>
      </c>
      <c r="E40" s="7">
        <v>6</v>
      </c>
      <c r="F40" s="13">
        <f>(PI()*(E40/2)^2)/144</f>
        <v>0.19634954084936207</v>
      </c>
      <c r="G40" s="9">
        <f>N40/(4*F40)</f>
        <v>317.0366466390555</v>
      </c>
      <c r="H40" s="7">
        <v>251</v>
      </c>
      <c r="I40" s="7">
        <v>72</v>
      </c>
      <c r="J40" s="7">
        <v>362</v>
      </c>
      <c r="K40" s="7">
        <f>J40/1000</f>
        <v>0.36199999999999999</v>
      </c>
      <c r="L40" s="12">
        <f>IF(H40&gt;0 &amp; I40&gt;0 &amp; J40&gt;0,H40*I40*J40/1000,0)</f>
        <v>6542.0640000000003</v>
      </c>
      <c r="M40" s="11">
        <f>SQRT(H40^2 + J40^2)</f>
        <v>440.50539156745856</v>
      </c>
      <c r="N40" s="7">
        <v>249</v>
      </c>
      <c r="O40" s="7">
        <v>47</v>
      </c>
      <c r="P40" s="7">
        <v>25000</v>
      </c>
      <c r="Q40" s="7">
        <v>4000</v>
      </c>
      <c r="R40" s="7">
        <v>16</v>
      </c>
      <c r="S40" s="7">
        <v>5</v>
      </c>
      <c r="T40" s="7">
        <v>5</v>
      </c>
      <c r="U40" s="7">
        <v>10.7</v>
      </c>
      <c r="V40" s="7" t="s">
        <v>27</v>
      </c>
      <c r="W40" s="7">
        <v>121</v>
      </c>
      <c r="X40" s="7">
        <v>2</v>
      </c>
      <c r="Y40" s="7">
        <v>3850</v>
      </c>
      <c r="Z40" s="9">
        <f>(X40*3.7)*(Y40/1000)</f>
        <v>28.490000000000002</v>
      </c>
      <c r="AA40" s="7">
        <v>1</v>
      </c>
      <c r="AB40" s="7">
        <v>90</v>
      </c>
      <c r="AC40" s="7" t="s">
        <v>8</v>
      </c>
      <c r="AD40" s="7" t="s">
        <v>28</v>
      </c>
      <c r="AE40" s="7" t="s">
        <v>10</v>
      </c>
      <c r="AF40" s="7" t="s">
        <v>10</v>
      </c>
      <c r="AG40" s="7" t="s">
        <v>10</v>
      </c>
      <c r="AH40" s="7" t="s">
        <v>15</v>
      </c>
      <c r="AI40" s="7" t="s">
        <v>13</v>
      </c>
    </row>
    <row r="41" spans="1:37" x14ac:dyDescent="0.25">
      <c r="A41" s="7">
        <v>44</v>
      </c>
      <c r="B41" s="5" t="s">
        <v>4</v>
      </c>
      <c r="C41" s="7" t="s">
        <v>5</v>
      </c>
      <c r="D41" s="7" t="s">
        <v>80</v>
      </c>
      <c r="E41" s="7">
        <v>2.8</v>
      </c>
      <c r="F41" s="13">
        <f>(PI()*(E41/2)^2)/144</f>
        <v>4.2760566673861064E-2</v>
      </c>
      <c r="G41" s="9">
        <f>N41/(4*F41)</f>
        <v>2397.0683265677303</v>
      </c>
      <c r="H41" s="7">
        <v>180</v>
      </c>
      <c r="I41" s="7">
        <v>80</v>
      </c>
      <c r="J41" s="7">
        <v>180</v>
      </c>
      <c r="K41" s="7">
        <f>J41/1000</f>
        <v>0.18</v>
      </c>
      <c r="L41" s="12">
        <f>IF(H41&gt;0 &amp; I41&gt;0 &amp; J41&gt;0,H41*I41*J41/1000,0)</f>
        <v>2592</v>
      </c>
      <c r="M41" s="11">
        <f>SQRT(H41^2 + J41^2)</f>
        <v>254.55844122715712</v>
      </c>
      <c r="N41" s="7">
        <v>410</v>
      </c>
      <c r="O41" s="7">
        <v>18</v>
      </c>
      <c r="P41" s="7">
        <v>11600</v>
      </c>
      <c r="Q41" s="7">
        <v>5000</v>
      </c>
      <c r="R41" s="7">
        <v>27</v>
      </c>
      <c r="S41" s="7">
        <v>6</v>
      </c>
      <c r="T41" s="7">
        <v>6</v>
      </c>
      <c r="U41" s="7">
        <v>10.7</v>
      </c>
      <c r="V41" s="7" t="s">
        <v>27</v>
      </c>
      <c r="W41" s="7">
        <v>162</v>
      </c>
      <c r="X41" s="7">
        <v>4</v>
      </c>
      <c r="Y41" s="7">
        <v>2420</v>
      </c>
      <c r="Z41" s="9">
        <f>(X41*3.7)*(Y41/1000)</f>
        <v>35.816000000000003</v>
      </c>
      <c r="AA41" s="7">
        <v>1</v>
      </c>
      <c r="AC41" s="7" t="s">
        <v>8</v>
      </c>
      <c r="AD41" s="7" t="s">
        <v>28</v>
      </c>
      <c r="AE41" s="7" t="s">
        <v>11</v>
      </c>
      <c r="AF41" s="7" t="s">
        <v>11</v>
      </c>
      <c r="AG41" s="7" t="s">
        <v>10</v>
      </c>
      <c r="AH41" s="7" t="s">
        <v>15</v>
      </c>
      <c r="AI41" s="7" t="s">
        <v>13</v>
      </c>
    </row>
    <row r="42" spans="1:37" x14ac:dyDescent="0.25">
      <c r="A42" s="7">
        <v>45</v>
      </c>
      <c r="B42" s="5" t="s">
        <v>4</v>
      </c>
      <c r="C42" s="7" t="s">
        <v>5</v>
      </c>
      <c r="D42" s="7" t="s">
        <v>81</v>
      </c>
      <c r="E42" s="7">
        <v>9.4</v>
      </c>
      <c r="F42" s="13">
        <f>(PI()*(E42/2)^2)/144</f>
        <v>0.48192903970693429</v>
      </c>
      <c r="G42" s="9">
        <f>N42/(4*F42)</f>
        <v>544.68599808724696</v>
      </c>
      <c r="H42" s="7">
        <v>347.5</v>
      </c>
      <c r="I42" s="7">
        <v>107.7</v>
      </c>
      <c r="J42" s="7">
        <v>283</v>
      </c>
      <c r="K42" s="7">
        <f>J42/1000</f>
        <v>0.28299999999999997</v>
      </c>
      <c r="L42" s="12">
        <f>IF(H42&gt;0 &amp; I42&gt;0 &amp; J42&gt;0,H42*I42*J42/1000,0)</f>
        <v>10591.48725</v>
      </c>
      <c r="M42" s="11">
        <v>380</v>
      </c>
      <c r="N42" s="7">
        <v>1050</v>
      </c>
      <c r="O42" s="7">
        <v>45</v>
      </c>
      <c r="P42" s="7">
        <v>15000</v>
      </c>
      <c r="Q42" s="7">
        <v>6000</v>
      </c>
      <c r="R42" s="7">
        <v>21</v>
      </c>
      <c r="S42" s="7">
        <v>8</v>
      </c>
      <c r="T42" s="7">
        <v>6</v>
      </c>
      <c r="U42" s="7">
        <v>12</v>
      </c>
      <c r="V42" s="7" t="s">
        <v>7</v>
      </c>
      <c r="W42" s="7">
        <v>335.5</v>
      </c>
      <c r="X42" s="7">
        <v>4</v>
      </c>
      <c r="Y42" s="7">
        <v>5000</v>
      </c>
      <c r="Z42" s="9">
        <f>(X42*3.7)*(Y42/1000)</f>
        <v>74</v>
      </c>
      <c r="AA42" s="7">
        <v>1</v>
      </c>
      <c r="AB42" s="7">
        <v>55</v>
      </c>
      <c r="AC42" s="7" t="s">
        <v>8</v>
      </c>
      <c r="AD42" s="7" t="s">
        <v>82</v>
      </c>
      <c r="AE42" s="7" t="s">
        <v>10</v>
      </c>
      <c r="AF42" s="7" t="s">
        <v>10</v>
      </c>
      <c r="AG42" s="7" t="s">
        <v>10</v>
      </c>
      <c r="AH42" s="7" t="s">
        <v>12</v>
      </c>
      <c r="AI42" s="7" t="s">
        <v>13</v>
      </c>
    </row>
    <row r="43" spans="1:37" x14ac:dyDescent="0.25">
      <c r="A43" s="7">
        <v>46</v>
      </c>
      <c r="B43" s="5" t="s">
        <v>4</v>
      </c>
      <c r="C43" s="7" t="s">
        <v>5</v>
      </c>
      <c r="D43" s="7" t="s">
        <v>83</v>
      </c>
      <c r="E43" s="7">
        <v>9.4</v>
      </c>
      <c r="F43" s="13">
        <f>(PI()*(E43/2)^2)/144</f>
        <v>0.48192903970693429</v>
      </c>
      <c r="G43" s="9">
        <f>N43/(4*F43)</f>
        <v>771.37912300546316</v>
      </c>
      <c r="K43" s="7">
        <f>J43/1000</f>
        <v>0</v>
      </c>
      <c r="M43" s="11">
        <v>350</v>
      </c>
      <c r="N43" s="7">
        <v>1487</v>
      </c>
      <c r="O43" s="7">
        <v>27</v>
      </c>
      <c r="P43" s="7">
        <v>7000</v>
      </c>
      <c r="Q43" s="7">
        <v>6000</v>
      </c>
      <c r="R43" s="7">
        <v>16</v>
      </c>
      <c r="S43" s="7">
        <v>6</v>
      </c>
      <c r="T43" s="7">
        <v>3</v>
      </c>
      <c r="V43" s="7" t="s">
        <v>7</v>
      </c>
      <c r="W43" s="7">
        <v>468</v>
      </c>
      <c r="X43" s="7">
        <v>4</v>
      </c>
      <c r="Y43" s="7">
        <v>5870</v>
      </c>
      <c r="Z43" s="9">
        <f>(X43*3.7)*(Y43/1000)</f>
        <v>86.876000000000005</v>
      </c>
      <c r="AA43" s="7">
        <v>1</v>
      </c>
      <c r="AB43" s="7">
        <v>55</v>
      </c>
      <c r="AC43" s="7" t="s">
        <v>8</v>
      </c>
      <c r="AD43" s="7" t="s">
        <v>82</v>
      </c>
      <c r="AE43" s="7" t="s">
        <v>10</v>
      </c>
      <c r="AF43" s="7" t="s">
        <v>11</v>
      </c>
      <c r="AG43" s="7" t="s">
        <v>11</v>
      </c>
      <c r="AH43" s="7" t="s">
        <v>84</v>
      </c>
      <c r="AI43" s="7" t="s">
        <v>13</v>
      </c>
    </row>
    <row r="44" spans="1:37" x14ac:dyDescent="0.25">
      <c r="A44" s="7">
        <v>47</v>
      </c>
      <c r="B44" s="5" t="s">
        <v>85</v>
      </c>
      <c r="C44" s="7" t="s">
        <v>86</v>
      </c>
      <c r="D44" s="7" t="s">
        <v>87</v>
      </c>
      <c r="E44" s="7">
        <v>7.2</v>
      </c>
      <c r="F44" s="13">
        <f>(PI()*(E44/2)^2)/144</f>
        <v>0.28274333882308139</v>
      </c>
      <c r="G44" s="9">
        <f>N44/(4*F44)</f>
        <v>550.8529419236155</v>
      </c>
      <c r="H44" s="7">
        <f>10*25.4</f>
        <v>254</v>
      </c>
      <c r="I44" s="7">
        <v>76</v>
      </c>
      <c r="J44" s="7">
        <v>254</v>
      </c>
      <c r="K44" s="7">
        <f>J44/1000</f>
        <v>0.254</v>
      </c>
      <c r="L44" s="12">
        <f>IF(H44&gt;0 &amp; I44&gt;0 &amp; J44&gt;0,H44*I44*J44/1000,0)</f>
        <v>4903.2160000000003</v>
      </c>
      <c r="M44" s="11">
        <f>SQRT(H44^2 + J44^2)</f>
        <v>359.21024484276614</v>
      </c>
      <c r="N44" s="7">
        <v>623</v>
      </c>
      <c r="O44" s="7">
        <v>25</v>
      </c>
      <c r="P44" s="7">
        <f>5*1.6*1000</f>
        <v>8000</v>
      </c>
      <c r="R44" s="7">
        <v>11</v>
      </c>
      <c r="S44" s="9">
        <f>5*1.6/3.6</f>
        <v>2.2222222222222223</v>
      </c>
      <c r="T44" s="9">
        <f>4*1.6/3.6</f>
        <v>1.7777777777777779</v>
      </c>
      <c r="U44" s="7">
        <v>11</v>
      </c>
      <c r="V44" s="7" t="s">
        <v>7</v>
      </c>
      <c r="W44" s="7">
        <v>170</v>
      </c>
      <c r="X44" s="7">
        <v>3</v>
      </c>
      <c r="Y44" s="7">
        <v>3400</v>
      </c>
      <c r="Z44" s="9">
        <f>(X44*3.7)*(Y44/1000)</f>
        <v>37.74</v>
      </c>
      <c r="AA44" s="7">
        <v>1</v>
      </c>
      <c r="AB44" s="7">
        <f>5*60</f>
        <v>300</v>
      </c>
      <c r="AC44" s="7" t="s">
        <v>8</v>
      </c>
      <c r="AD44" s="7" t="s">
        <v>9</v>
      </c>
      <c r="AE44" s="7" t="s">
        <v>10</v>
      </c>
      <c r="AF44" s="7" t="s">
        <v>10</v>
      </c>
      <c r="AG44" s="7" t="s">
        <v>10</v>
      </c>
      <c r="AH44" s="7" t="s">
        <v>15</v>
      </c>
      <c r="AI44" s="7" t="s">
        <v>45</v>
      </c>
    </row>
    <row r="45" spans="1:37" x14ac:dyDescent="0.25">
      <c r="A45" s="7">
        <v>48</v>
      </c>
      <c r="B45" s="5" t="s">
        <v>85</v>
      </c>
      <c r="C45" s="7" t="s">
        <v>86</v>
      </c>
      <c r="D45" s="7" t="s">
        <v>88</v>
      </c>
      <c r="E45" s="7">
        <v>5.0999999999999996</v>
      </c>
      <c r="F45" s="13">
        <f>(PI()*(E45/2)^2)/144</f>
        <v>0.1418625432636641</v>
      </c>
      <c r="G45" s="9">
        <f>N45/(4*F45)</f>
        <v>995.68213532922755</v>
      </c>
      <c r="H45" s="7">
        <f>9*25.4</f>
        <v>228.6</v>
      </c>
      <c r="I45" s="7">
        <f>2*25.4</f>
        <v>50.8</v>
      </c>
      <c r="J45" s="7">
        <f>12*25.4</f>
        <v>304.79999999999995</v>
      </c>
      <c r="K45" s="7">
        <f>J45/1000</f>
        <v>0.30479999999999996</v>
      </c>
      <c r="L45" s="12">
        <f>IF(H45&gt;0 &amp; I45&gt;0 &amp; J45&gt;0,H45*I45*J45/1000,0)</f>
        <v>3539.6058239999993</v>
      </c>
      <c r="M45" s="11">
        <f>SQRT(H45^2 + J45^2)</f>
        <v>380.99999999999994</v>
      </c>
      <c r="N45" s="7">
        <v>565</v>
      </c>
      <c r="O45" s="7">
        <v>28</v>
      </c>
      <c r="P45" s="7">
        <f>6.5*1.6*1000</f>
        <v>10400</v>
      </c>
      <c r="R45" s="9">
        <f>27*1.6/3.6</f>
        <v>12</v>
      </c>
      <c r="S45" s="9">
        <f>6*1.6/3.6</f>
        <v>2.666666666666667</v>
      </c>
      <c r="T45" s="9">
        <f>4*1.6/3.6</f>
        <v>1.7777777777777779</v>
      </c>
      <c r="U45" s="9">
        <f>23*1.6/3.6</f>
        <v>10.222222222222223</v>
      </c>
      <c r="V45" s="7" t="s">
        <v>7</v>
      </c>
      <c r="W45" s="7">
        <v>176</v>
      </c>
      <c r="X45" s="7">
        <v>3</v>
      </c>
      <c r="Y45" s="7">
        <v>3200</v>
      </c>
      <c r="Z45" s="9">
        <f>(X45*3.7)*(Y45/1000)</f>
        <v>35.520000000000003</v>
      </c>
      <c r="AA45" s="7">
        <v>1</v>
      </c>
      <c r="AB45" s="7">
        <f>5*60</f>
        <v>300</v>
      </c>
      <c r="AC45" s="7" t="s">
        <v>8</v>
      </c>
      <c r="AD45" s="7" t="s">
        <v>9</v>
      </c>
      <c r="AE45" s="7" t="s">
        <v>89</v>
      </c>
      <c r="AF45" s="7" t="s">
        <v>89</v>
      </c>
      <c r="AG45" s="7" t="s">
        <v>90</v>
      </c>
      <c r="AH45" s="7" t="s">
        <v>15</v>
      </c>
      <c r="AI45" s="7" t="s">
        <v>91</v>
      </c>
    </row>
    <row r="46" spans="1:37" x14ac:dyDescent="0.25">
      <c r="A46" s="7">
        <v>49</v>
      </c>
      <c r="B46" s="5" t="s">
        <v>85</v>
      </c>
      <c r="C46" s="7" t="s">
        <v>86</v>
      </c>
      <c r="D46" s="7" t="s">
        <v>92</v>
      </c>
      <c r="E46" s="7">
        <v>8.1999999999999993</v>
      </c>
      <c r="F46" s="13">
        <f>(PI()*(E46/2)^2)/144</f>
        <v>0.36673730907530844</v>
      </c>
      <c r="G46" s="9">
        <f>N46/(4*F46)</f>
        <v>167.0132775812632</v>
      </c>
      <c r="H46" s="7">
        <f>8*25.4</f>
        <v>203.2</v>
      </c>
      <c r="I46" s="7">
        <f>2.5*25.4</f>
        <v>63.5</v>
      </c>
      <c r="J46" s="7">
        <f>8*25.4</f>
        <v>203.2</v>
      </c>
      <c r="K46" s="7">
        <f>J46/1000</f>
        <v>0.20319999999999999</v>
      </c>
      <c r="L46" s="12">
        <f>IF(H46&gt;0 &amp; I46&gt;0 &amp; J46&gt;0,H46*I46*J46/1000,0)</f>
        <v>2621.9302399999997</v>
      </c>
      <c r="M46" s="11">
        <f>SQRT(H46^2 + J46^2)</f>
        <v>287.36819587421292</v>
      </c>
      <c r="N46" s="7">
        <v>245</v>
      </c>
      <c r="O46" s="7">
        <v>18</v>
      </c>
      <c r="P46" s="7">
        <v>122</v>
      </c>
      <c r="Q46" s="7">
        <f>0.75*1.6*1000</f>
        <v>1200.0000000000002</v>
      </c>
      <c r="R46" s="9">
        <f>15*1.6/3.6</f>
        <v>6.6666666666666661</v>
      </c>
      <c r="S46" s="9">
        <f>3*1.6/3.6</f>
        <v>1.3333333333333335</v>
      </c>
      <c r="T46" s="9">
        <f>2*1.6/3.6</f>
        <v>0.88888888888888895</v>
      </c>
      <c r="U46" s="9">
        <f>7*1.6/3.6</f>
        <v>3.1111111111111112</v>
      </c>
      <c r="V46" s="7" t="s">
        <v>7</v>
      </c>
      <c r="W46" s="7">
        <v>98</v>
      </c>
      <c r="X46" s="7">
        <v>3</v>
      </c>
      <c r="Y46" s="7">
        <v>1800</v>
      </c>
      <c r="Z46" s="9">
        <f>(X46*3.7)*(Y46/1000)</f>
        <v>19.980000000000004</v>
      </c>
      <c r="AA46" s="7">
        <v>1</v>
      </c>
      <c r="AB46" s="7">
        <v>90</v>
      </c>
      <c r="AC46" s="7" t="s">
        <v>8</v>
      </c>
      <c r="AD46" s="7" t="s">
        <v>24</v>
      </c>
      <c r="AE46" s="7" t="s">
        <v>11</v>
      </c>
      <c r="AF46" s="7" t="s">
        <v>11</v>
      </c>
      <c r="AG46" s="7" t="s">
        <v>10</v>
      </c>
      <c r="AH46" s="7" t="s">
        <v>15</v>
      </c>
      <c r="AI46" s="7">
        <v>1080</v>
      </c>
    </row>
    <row r="47" spans="1:37" x14ac:dyDescent="0.25">
      <c r="A47" s="7">
        <v>50</v>
      </c>
      <c r="B47" s="5" t="s">
        <v>85</v>
      </c>
      <c r="C47" s="7" t="s">
        <v>86</v>
      </c>
      <c r="D47" s="7" t="s">
        <v>93</v>
      </c>
      <c r="E47" s="7">
        <v>6.6</v>
      </c>
      <c r="F47" s="13">
        <f>(PI()*(E47/2)^2)/144</f>
        <v>0.23758294442772807</v>
      </c>
      <c r="G47" s="9">
        <f>N47/(4*F47)</f>
        <v>102.06961639612463</v>
      </c>
      <c r="H47" s="7">
        <v>200</v>
      </c>
      <c r="I47" s="7">
        <v>55</v>
      </c>
      <c r="J47" s="7">
        <v>260</v>
      </c>
      <c r="K47" s="7">
        <f>J47/1000</f>
        <v>0.26</v>
      </c>
      <c r="L47" s="12">
        <f>IF(H47&gt;0 &amp; I47&gt;0 &amp; J47&gt;0,H47*I47*J47/1000,0)</f>
        <v>2860</v>
      </c>
      <c r="M47" s="11">
        <f>SQRT(H47^2 + J47^2)</f>
        <v>328.02438933713449</v>
      </c>
      <c r="N47" s="7">
        <v>97</v>
      </c>
      <c r="O47" s="7">
        <v>10</v>
      </c>
      <c r="P47" s="7">
        <v>30</v>
      </c>
      <c r="Q47" s="7">
        <v>30</v>
      </c>
      <c r="R47" s="7">
        <v>3</v>
      </c>
      <c r="S47" s="7">
        <v>2</v>
      </c>
      <c r="T47" s="7">
        <v>1</v>
      </c>
      <c r="U47" s="7">
        <v>1.5</v>
      </c>
      <c r="V47" s="7" t="s">
        <v>7</v>
      </c>
      <c r="W47" s="7">
        <v>21</v>
      </c>
      <c r="X47" s="7">
        <v>2</v>
      </c>
      <c r="Y47" s="7">
        <v>1000</v>
      </c>
      <c r="Z47" s="9">
        <f>(X47*3.7)*(Y47/1000)</f>
        <v>7.4</v>
      </c>
      <c r="AA47" s="7">
        <v>1</v>
      </c>
      <c r="AB47" s="7">
        <v>100</v>
      </c>
      <c r="AC47" s="7" t="s">
        <v>8</v>
      </c>
      <c r="AD47" s="7" t="s">
        <v>24</v>
      </c>
      <c r="AE47" s="7" t="s">
        <v>11</v>
      </c>
      <c r="AF47" s="7" t="s">
        <v>11</v>
      </c>
      <c r="AG47" s="7" t="s">
        <v>10</v>
      </c>
      <c r="AH47" s="7" t="s">
        <v>15</v>
      </c>
      <c r="AI47" s="7">
        <v>1080</v>
      </c>
    </row>
    <row r="48" spans="1:37" x14ac:dyDescent="0.25">
      <c r="A48" s="7">
        <v>51</v>
      </c>
      <c r="B48" s="5" t="s">
        <v>85</v>
      </c>
      <c r="C48" s="7" t="s">
        <v>86</v>
      </c>
      <c r="D48" s="7" t="s">
        <v>94</v>
      </c>
      <c r="E48" s="7">
        <v>5.7</v>
      </c>
      <c r="F48" s="13">
        <f>(PI()*(E48/2)^2)/144</f>
        <v>0.17720546061654929</v>
      </c>
      <c r="G48" s="9">
        <f>N48/(4*F48)</f>
        <v>766.05991445007567</v>
      </c>
      <c r="H48" s="7">
        <f>7*25.4</f>
        <v>177.79999999999998</v>
      </c>
      <c r="I48" s="7">
        <f>3*25.4</f>
        <v>76.199999999999989</v>
      </c>
      <c r="J48" s="7">
        <f>7*25.4</f>
        <v>177.79999999999998</v>
      </c>
      <c r="K48" s="7">
        <f>J48/1000</f>
        <v>0.17779999999999999</v>
      </c>
      <c r="L48" s="12">
        <f>IF(H48&gt;0 &amp; I48&gt;0 &amp; J48&gt;0,H48*I48*J48/1000,0)</f>
        <v>2408.8984079999996</v>
      </c>
      <c r="M48" s="11">
        <f>SQRT(H48^2 + J48^2)</f>
        <v>251.44717138993627</v>
      </c>
      <c r="N48" s="7">
        <v>543</v>
      </c>
      <c r="O48" s="7">
        <v>35</v>
      </c>
      <c r="P48" s="7">
        <f>14*1.6*1000</f>
        <v>22400.000000000004</v>
      </c>
      <c r="Q48" s="7">
        <v>4570</v>
      </c>
      <c r="R48" s="9">
        <f>35*1.6/3.6</f>
        <v>15.555555555555555</v>
      </c>
      <c r="S48" s="9">
        <f>9*1.6/3.6</f>
        <v>4</v>
      </c>
      <c r="T48" s="9">
        <f>8*1.6/3.6</f>
        <v>3.5555555555555558</v>
      </c>
      <c r="U48" s="9">
        <f>36*1.6/3.6</f>
        <v>16</v>
      </c>
      <c r="V48" s="7" t="s">
        <v>7</v>
      </c>
      <c r="W48" s="7">
        <v>233</v>
      </c>
      <c r="X48" s="7">
        <v>3</v>
      </c>
      <c r="Y48" s="7">
        <v>3800</v>
      </c>
      <c r="Z48" s="9">
        <f>(X48*3.7)*(Y48/1000)</f>
        <v>42.180000000000007</v>
      </c>
      <c r="AA48" s="7">
        <v>1</v>
      </c>
      <c r="AB48" s="7">
        <v>90</v>
      </c>
      <c r="AC48" s="7" t="s">
        <v>8</v>
      </c>
      <c r="AD48" s="7" t="s">
        <v>95</v>
      </c>
      <c r="AE48" s="7" t="s">
        <v>10</v>
      </c>
      <c r="AF48" s="7" t="s">
        <v>11</v>
      </c>
      <c r="AG48" s="7" t="s">
        <v>10</v>
      </c>
      <c r="AH48" s="7" t="s">
        <v>15</v>
      </c>
      <c r="AI48" s="7" t="s">
        <v>13</v>
      </c>
    </row>
    <row r="49" spans="1:37" x14ac:dyDescent="0.25">
      <c r="A49" s="7">
        <v>52</v>
      </c>
      <c r="B49" s="5" t="s">
        <v>85</v>
      </c>
      <c r="C49" s="7" t="s">
        <v>86</v>
      </c>
      <c r="D49" s="7" t="s">
        <v>96</v>
      </c>
      <c r="E49" s="7">
        <v>5.8</v>
      </c>
      <c r="F49" s="13">
        <f>(PI()*(E49/2)^2)/144</f>
        <v>0.18347773761590391</v>
      </c>
      <c r="G49" s="9">
        <f>N49/(4*F49)</f>
        <v>339.27821875760992</v>
      </c>
      <c r="H49" s="7">
        <f>6*25.4</f>
        <v>152.39999999999998</v>
      </c>
      <c r="I49" s="7">
        <f>2.5*25.4</f>
        <v>63.5</v>
      </c>
      <c r="J49" s="7">
        <f>8*25.4</f>
        <v>203.2</v>
      </c>
      <c r="K49" s="7">
        <f>J49/1000</f>
        <v>0.20319999999999999</v>
      </c>
      <c r="L49" s="12">
        <f>IF(H49&gt;0 &amp; I49&gt;0 &amp; J49&gt;0,H49*I49*J49/1000,0)</f>
        <v>1966.4476799999995</v>
      </c>
      <c r="M49" s="11">
        <f>SQRT(H49^2 + J49^2)</f>
        <v>253.99999999999997</v>
      </c>
      <c r="N49" s="7">
        <v>249</v>
      </c>
      <c r="O49" s="7">
        <v>40</v>
      </c>
      <c r="P49" s="7">
        <v>18500</v>
      </c>
      <c r="Q49" s="7">
        <v>3800</v>
      </c>
      <c r="R49" s="9">
        <f>35*1.6/3.6</f>
        <v>15.555555555555555</v>
      </c>
      <c r="S49" s="9">
        <f>9*1.6/3.6</f>
        <v>4</v>
      </c>
      <c r="T49" s="9">
        <f>8*1.6/3.6</f>
        <v>3.5555555555555558</v>
      </c>
      <c r="U49" s="9">
        <f>24*1.6/3.6</f>
        <v>10.666666666666668</v>
      </c>
      <c r="V49" s="7" t="s">
        <v>7</v>
      </c>
      <c r="W49" s="7">
        <v>101</v>
      </c>
      <c r="X49" s="7">
        <v>3</v>
      </c>
      <c r="Y49" s="7">
        <v>3000</v>
      </c>
      <c r="Z49" s="9">
        <f>(X49*3.7)*(Y49/1000)</f>
        <v>33.300000000000004</v>
      </c>
      <c r="AA49" s="7">
        <v>1</v>
      </c>
      <c r="AB49" s="7">
        <v>90</v>
      </c>
      <c r="AC49" s="7" t="s">
        <v>8</v>
      </c>
      <c r="AD49" s="7" t="s">
        <v>9</v>
      </c>
      <c r="AE49" s="7" t="s">
        <v>10</v>
      </c>
      <c r="AF49" s="7" t="s">
        <v>11</v>
      </c>
      <c r="AG49" s="7" t="s">
        <v>10</v>
      </c>
      <c r="AH49" s="7" t="s">
        <v>15</v>
      </c>
      <c r="AI49" s="7" t="s">
        <v>13</v>
      </c>
    </row>
    <row r="50" spans="1:37" x14ac:dyDescent="0.25">
      <c r="A50" s="7">
        <v>53</v>
      </c>
      <c r="B50" s="5" t="s">
        <v>97</v>
      </c>
      <c r="C50" s="7" t="s">
        <v>97</v>
      </c>
      <c r="D50" s="7" t="s">
        <v>98</v>
      </c>
      <c r="E50" s="7">
        <v>13</v>
      </c>
      <c r="F50" s="13">
        <f>(PI()*(E50/2)^2)/144</f>
        <v>0.92175201120950534</v>
      </c>
      <c r="G50" s="9">
        <f>N50/(4*F50)</f>
        <v>542.44524982799828</v>
      </c>
      <c r="K50" s="7">
        <f>J50/1000</f>
        <v>0</v>
      </c>
      <c r="M50" s="11">
        <v>543</v>
      </c>
      <c r="N50" s="7">
        <v>2000</v>
      </c>
      <c r="O50" s="7">
        <v>33</v>
      </c>
      <c r="P50" s="7">
        <v>11000</v>
      </c>
      <c r="R50" s="7">
        <v>25</v>
      </c>
      <c r="S50" s="7">
        <v>5</v>
      </c>
      <c r="T50" s="7">
        <v>2.5</v>
      </c>
      <c r="V50" s="7" t="s">
        <v>7</v>
      </c>
      <c r="W50" s="7">
        <v>615</v>
      </c>
      <c r="X50" s="7">
        <v>4</v>
      </c>
      <c r="Y50" s="7">
        <v>6700</v>
      </c>
      <c r="Z50" s="9">
        <f>(X50*3.7)*(Y50/1000)</f>
        <v>99.160000000000011</v>
      </c>
      <c r="AA50" s="7">
        <v>1</v>
      </c>
      <c r="AB50" s="7">
        <v>60</v>
      </c>
      <c r="AC50" s="7" t="s">
        <v>8</v>
      </c>
      <c r="AD50" s="7" t="s">
        <v>95</v>
      </c>
      <c r="AE50" s="7" t="s">
        <v>11</v>
      </c>
      <c r="AF50" s="7" t="s">
        <v>11</v>
      </c>
      <c r="AG50" s="7" t="s">
        <v>10</v>
      </c>
      <c r="AH50" s="7" t="s">
        <v>15</v>
      </c>
      <c r="AI50" s="7" t="s">
        <v>13</v>
      </c>
      <c r="AJ50" s="15" t="s">
        <v>99</v>
      </c>
    </row>
    <row r="51" spans="1:37" x14ac:dyDescent="0.25">
      <c r="A51" s="7">
        <v>54</v>
      </c>
      <c r="B51" s="5" t="s">
        <v>100</v>
      </c>
      <c r="C51" s="7" t="s">
        <v>100</v>
      </c>
      <c r="D51" s="7" t="s">
        <v>101</v>
      </c>
      <c r="E51" s="7">
        <v>8.77</v>
      </c>
      <c r="F51" s="13">
        <f>(PI()*(E51/2)^2)/144</f>
        <v>0.41949479445535831</v>
      </c>
      <c r="G51" s="9">
        <f>N51/(4*F51)</f>
        <v>494.64260997422622</v>
      </c>
      <c r="H51" s="7">
        <v>204</v>
      </c>
      <c r="I51" s="7">
        <v>72.599999999999994</v>
      </c>
      <c r="J51" s="7">
        <v>106</v>
      </c>
      <c r="K51" s="7">
        <f>J51/1000</f>
        <v>0.106</v>
      </c>
      <c r="L51" s="12">
        <f>IF(H51&gt;0 &amp; I51&gt;0 &amp; J51&gt;0,H51*I51*J51/1000,0)</f>
        <v>1569.9023999999999</v>
      </c>
      <c r="M51" s="11">
        <v>372</v>
      </c>
      <c r="N51" s="7">
        <v>830</v>
      </c>
      <c r="O51" s="7">
        <v>47</v>
      </c>
      <c r="P51" s="7">
        <v>15000</v>
      </c>
      <c r="Q51" s="7">
        <v>4000</v>
      </c>
      <c r="R51" s="7">
        <v>18</v>
      </c>
      <c r="S51" s="7">
        <v>5</v>
      </c>
      <c r="T51" s="7">
        <v>4</v>
      </c>
      <c r="V51" s="7" t="s">
        <v>7</v>
      </c>
      <c r="W51" s="7">
        <v>280</v>
      </c>
      <c r="X51" s="7">
        <v>4</v>
      </c>
      <c r="Y51" s="7">
        <v>3800</v>
      </c>
      <c r="Z51" s="9">
        <f>(X51*3.7)*(Y51/1000)</f>
        <v>56.24</v>
      </c>
      <c r="AA51" s="7">
        <v>1</v>
      </c>
      <c r="AB51" s="7">
        <v>60</v>
      </c>
      <c r="AC51" s="7" t="s">
        <v>8</v>
      </c>
      <c r="AD51" s="7" t="s">
        <v>82</v>
      </c>
      <c r="AE51" s="7" t="s">
        <v>10</v>
      </c>
      <c r="AF51" s="7" t="s">
        <v>11</v>
      </c>
      <c r="AG51" s="7" t="s">
        <v>10</v>
      </c>
      <c r="AH51" s="7" t="s">
        <v>15</v>
      </c>
      <c r="AI51" s="7" t="s">
        <v>13</v>
      </c>
    </row>
    <row r="52" spans="1:37" x14ac:dyDescent="0.25">
      <c r="A52" s="7">
        <v>55</v>
      </c>
      <c r="B52" s="5" t="s">
        <v>100</v>
      </c>
      <c r="C52" s="7" t="s">
        <v>100</v>
      </c>
      <c r="D52" s="7" t="s">
        <v>102</v>
      </c>
      <c r="E52" s="7">
        <v>2.2400000000000002</v>
      </c>
      <c r="F52" s="13">
        <f>(PI()*(E52/2)^2)/144</f>
        <v>2.736676267127109E-2</v>
      </c>
      <c r="G52" s="9">
        <f>N52/(4*F52)</f>
        <v>2429.9549347066159</v>
      </c>
      <c r="H52" s="7">
        <v>200</v>
      </c>
      <c r="I52" s="7">
        <v>56</v>
      </c>
      <c r="J52" s="7">
        <v>145</v>
      </c>
      <c r="K52" s="7">
        <f>J52/1000</f>
        <v>0.14499999999999999</v>
      </c>
      <c r="L52" s="12">
        <f>IF(H52&gt;0 &amp; I52&gt;0 &amp; J52&gt;0,H52*I52*J52/1000,0)</f>
        <v>1624</v>
      </c>
      <c r="M52" s="11">
        <v>247</v>
      </c>
      <c r="N52" s="7">
        <v>266</v>
      </c>
      <c r="O52" s="7">
        <v>37</v>
      </c>
      <c r="P52" s="7">
        <v>9000</v>
      </c>
      <c r="Q52" s="7">
        <v>4000</v>
      </c>
      <c r="R52" s="7">
        <v>16</v>
      </c>
      <c r="S52" s="7">
        <v>5</v>
      </c>
      <c r="T52" s="7">
        <v>3.5</v>
      </c>
      <c r="V52" s="7" t="s">
        <v>27</v>
      </c>
      <c r="W52" s="7">
        <v>106</v>
      </c>
      <c r="X52" s="7">
        <v>2</v>
      </c>
      <c r="Y52" s="7">
        <v>3100</v>
      </c>
      <c r="Z52" s="9">
        <f>(X52*3.7)*(Y52/1000)</f>
        <v>22.94</v>
      </c>
      <c r="AA52" s="7">
        <v>1</v>
      </c>
      <c r="AC52" s="7" t="s">
        <v>8</v>
      </c>
      <c r="AD52" s="7" t="s">
        <v>82</v>
      </c>
      <c r="AE52" s="7" t="s">
        <v>11</v>
      </c>
      <c r="AF52" s="7" t="s">
        <v>11</v>
      </c>
      <c r="AG52" s="7" t="s">
        <v>10</v>
      </c>
      <c r="AH52" s="7" t="s">
        <v>15</v>
      </c>
      <c r="AI52" s="7" t="s">
        <v>13</v>
      </c>
    </row>
    <row r="53" spans="1:37" x14ac:dyDescent="0.25">
      <c r="A53" s="7">
        <v>56</v>
      </c>
      <c r="B53" s="5" t="s">
        <v>100</v>
      </c>
      <c r="C53" s="7" t="s">
        <v>100</v>
      </c>
      <c r="D53" s="7" t="s">
        <v>103</v>
      </c>
      <c r="E53" s="7">
        <v>8.5</v>
      </c>
      <c r="F53" s="13">
        <f>(PI()*(E53/2)^2)/144</f>
        <v>0.39406262017684468</v>
      </c>
      <c r="G53" s="9">
        <f>N53/(4*F53)</f>
        <v>487.23220668287587</v>
      </c>
      <c r="I53" s="7">
        <v>72.599999999999994</v>
      </c>
      <c r="K53" s="7">
        <f>J53/1000</f>
        <v>0</v>
      </c>
      <c r="M53" s="11">
        <v>372</v>
      </c>
      <c r="N53" s="7">
        <v>768</v>
      </c>
      <c r="O53" s="7">
        <v>35</v>
      </c>
      <c r="P53" s="7">
        <v>10000</v>
      </c>
      <c r="Q53" s="7">
        <v>800</v>
      </c>
      <c r="R53" s="7">
        <v>18</v>
      </c>
      <c r="S53" s="7">
        <v>5</v>
      </c>
      <c r="T53" s="7">
        <v>4</v>
      </c>
      <c r="V53" s="7" t="s">
        <v>7</v>
      </c>
      <c r="W53" s="7">
        <v>273</v>
      </c>
      <c r="X53" s="7">
        <v>3</v>
      </c>
      <c r="Y53" s="7">
        <v>4500</v>
      </c>
      <c r="Z53" s="9">
        <f>(X53*3.7)*(Y53/1000)</f>
        <v>49.95</v>
      </c>
      <c r="AA53" s="7">
        <v>1</v>
      </c>
      <c r="AC53" s="7" t="s">
        <v>8</v>
      </c>
      <c r="AD53" s="7" t="s">
        <v>95</v>
      </c>
      <c r="AE53" s="7" t="s">
        <v>11</v>
      </c>
      <c r="AF53" s="7" t="s">
        <v>11</v>
      </c>
      <c r="AG53" s="7" t="s">
        <v>10</v>
      </c>
      <c r="AH53" s="7" t="s">
        <v>15</v>
      </c>
      <c r="AI53" s="7" t="s">
        <v>13</v>
      </c>
    </row>
    <row r="54" spans="1:37" x14ac:dyDescent="0.25">
      <c r="A54" s="7">
        <v>57</v>
      </c>
      <c r="B54" s="5" t="s">
        <v>100</v>
      </c>
      <c r="C54" s="7" t="s">
        <v>100</v>
      </c>
      <c r="D54" s="7" t="s">
        <v>104</v>
      </c>
      <c r="E54" s="7">
        <v>8.5</v>
      </c>
      <c r="F54" s="13">
        <f>(PI()*(E54/2)^2)/144</f>
        <v>0.39406262017684468</v>
      </c>
      <c r="G54" s="9">
        <f>N54/(4*F54)</f>
        <v>485.32895587552088</v>
      </c>
      <c r="I54" s="7">
        <v>72.599999999999994</v>
      </c>
      <c r="K54" s="7">
        <f>J54/1000</f>
        <v>0</v>
      </c>
      <c r="M54" s="11">
        <v>372</v>
      </c>
      <c r="N54" s="7">
        <v>765</v>
      </c>
      <c r="O54" s="7">
        <v>35</v>
      </c>
      <c r="P54" s="7">
        <v>8000</v>
      </c>
      <c r="Q54" s="7">
        <v>500</v>
      </c>
      <c r="R54" s="7">
        <v>18</v>
      </c>
      <c r="S54" s="7">
        <v>5</v>
      </c>
      <c r="T54" s="7">
        <v>4</v>
      </c>
      <c r="U54" s="7">
        <v>14</v>
      </c>
      <c r="V54" s="7" t="s">
        <v>7</v>
      </c>
      <c r="W54" s="7">
        <v>270</v>
      </c>
      <c r="X54" s="7">
        <v>3</v>
      </c>
      <c r="Y54" s="7">
        <v>4500</v>
      </c>
      <c r="Z54" s="9">
        <f>(X54*3.7)*(Y54/1000)</f>
        <v>49.95</v>
      </c>
      <c r="AA54" s="7">
        <v>1</v>
      </c>
      <c r="AB54" s="7">
        <f>90</f>
        <v>90</v>
      </c>
      <c r="AC54" s="7" t="s">
        <v>8</v>
      </c>
      <c r="AD54" s="7" t="s">
        <v>95</v>
      </c>
      <c r="AE54" s="7" t="s">
        <v>89</v>
      </c>
      <c r="AF54" s="7" t="s">
        <v>89</v>
      </c>
      <c r="AG54" s="7" t="s">
        <v>90</v>
      </c>
      <c r="AH54" s="7" t="s">
        <v>15</v>
      </c>
      <c r="AI54" s="7" t="s">
        <v>13</v>
      </c>
    </row>
    <row r="55" spans="1:37" x14ac:dyDescent="0.2">
      <c r="A55" s="7">
        <v>58</v>
      </c>
      <c r="B55" s="5" t="s">
        <v>100</v>
      </c>
      <c r="C55" s="7" t="s">
        <v>100</v>
      </c>
      <c r="D55" s="7" t="s">
        <v>105</v>
      </c>
      <c r="E55" s="7">
        <v>10</v>
      </c>
      <c r="F55" s="13">
        <f>(PI()*(E55/2)^2)/144</f>
        <v>0.54541539124822802</v>
      </c>
      <c r="G55" s="9">
        <f>N55/(4*F55)</f>
        <v>630.71194088001016</v>
      </c>
      <c r="H55" s="7">
        <v>380</v>
      </c>
      <c r="I55" s="7">
        <v>170</v>
      </c>
      <c r="J55" s="7">
        <v>455</v>
      </c>
      <c r="K55" s="7">
        <f>J55/1000</f>
        <v>0.45500000000000002</v>
      </c>
      <c r="L55" s="12">
        <f>IF(H55&gt;0 &amp; I55&gt;0 &amp; J55&gt;0,H55*I55*J55/1000,0)</f>
        <v>29393</v>
      </c>
      <c r="M55" s="11">
        <v>434</v>
      </c>
      <c r="N55" s="7">
        <v>1376</v>
      </c>
      <c r="O55" s="7">
        <v>26</v>
      </c>
      <c r="P55" s="7">
        <v>4000</v>
      </c>
      <c r="Q55" s="7">
        <v>800</v>
      </c>
      <c r="R55" s="7">
        <v>16</v>
      </c>
      <c r="S55" s="7">
        <v>6</v>
      </c>
      <c r="T55" s="7">
        <v>2</v>
      </c>
      <c r="U55" s="7">
        <v>7.9</v>
      </c>
      <c r="V55" s="7" t="s">
        <v>7</v>
      </c>
      <c r="W55" s="7">
        <v>450</v>
      </c>
      <c r="X55" s="7">
        <v>5</v>
      </c>
      <c r="Y55" s="7">
        <v>5100</v>
      </c>
      <c r="Z55" s="9">
        <f>(X55*3.7)*(Y55/1000)</f>
        <v>94.35</v>
      </c>
      <c r="AA55" s="7">
        <v>1</v>
      </c>
      <c r="AB55" s="7">
        <f>3*60</f>
        <v>180</v>
      </c>
      <c r="AC55" s="7" t="s">
        <v>8</v>
      </c>
      <c r="AD55" s="7" t="s">
        <v>9</v>
      </c>
      <c r="AE55" s="7" t="s">
        <v>11</v>
      </c>
      <c r="AF55" s="7" t="s">
        <v>11</v>
      </c>
      <c r="AG55" s="7" t="s">
        <v>11</v>
      </c>
      <c r="AH55" s="7" t="s">
        <v>15</v>
      </c>
      <c r="AI55" s="7" t="s">
        <v>13</v>
      </c>
      <c r="AJ55" s="16" t="s">
        <v>106</v>
      </c>
      <c r="AK55" s="16" t="s">
        <v>201</v>
      </c>
    </row>
    <row r="56" spans="1:37" x14ac:dyDescent="0.25">
      <c r="A56" s="7">
        <v>59</v>
      </c>
      <c r="B56" s="5" t="s">
        <v>100</v>
      </c>
      <c r="C56" s="7" t="s">
        <v>100</v>
      </c>
      <c r="D56" s="7" t="s">
        <v>107</v>
      </c>
      <c r="E56" s="7">
        <v>7.5</v>
      </c>
      <c r="F56" s="13">
        <f>(PI()*(E56/2)^2)/144</f>
        <v>0.30679615757712825</v>
      </c>
      <c r="G56" s="9">
        <f>N56/(4*F56)</f>
        <v>456.3290528330823</v>
      </c>
      <c r="H56" s="7">
        <v>285</v>
      </c>
      <c r="I56" s="7">
        <v>69</v>
      </c>
      <c r="J56" s="7">
        <v>229</v>
      </c>
      <c r="K56" s="7">
        <f>J56/1000</f>
        <v>0.22900000000000001</v>
      </c>
      <c r="L56" s="12">
        <f>IF(H56&gt;0 &amp; I56&gt;0 &amp; J56&gt;0,H56*I56*J56/1000,0)</f>
        <v>4503.2849999999999</v>
      </c>
      <c r="M56" s="11">
        <v>323</v>
      </c>
      <c r="N56" s="7">
        <v>560</v>
      </c>
      <c r="O56" s="7">
        <v>25</v>
      </c>
      <c r="P56" s="7">
        <v>1000</v>
      </c>
      <c r="Q56" s="7">
        <v>500</v>
      </c>
      <c r="R56" s="7">
        <v>18</v>
      </c>
      <c r="S56" s="7">
        <v>6</v>
      </c>
      <c r="T56" s="7">
        <v>5</v>
      </c>
      <c r="U56" s="7">
        <v>7.9</v>
      </c>
      <c r="V56" s="7" t="s">
        <v>7</v>
      </c>
      <c r="W56" s="7">
        <v>162</v>
      </c>
      <c r="X56" s="7">
        <v>3</v>
      </c>
      <c r="Y56" s="7">
        <v>2000</v>
      </c>
      <c r="Z56" s="9">
        <f>(X56*3.7)*(Y56/1000)</f>
        <v>22.200000000000003</v>
      </c>
      <c r="AA56" s="7">
        <v>1</v>
      </c>
      <c r="AB56" s="7">
        <v>180</v>
      </c>
      <c r="AC56" s="7" t="s">
        <v>8</v>
      </c>
      <c r="AD56" s="7" t="s">
        <v>9</v>
      </c>
      <c r="AE56" s="7" t="s">
        <v>11</v>
      </c>
      <c r="AF56" s="7" t="s">
        <v>11</v>
      </c>
      <c r="AG56" s="7" t="s">
        <v>11</v>
      </c>
      <c r="AH56" s="7" t="s">
        <v>15</v>
      </c>
      <c r="AI56" s="7">
        <v>1080</v>
      </c>
    </row>
    <row r="57" spans="1:37" x14ac:dyDescent="0.2">
      <c r="A57" s="7">
        <v>60</v>
      </c>
      <c r="B57" s="5" t="s">
        <v>108</v>
      </c>
      <c r="C57" s="7" t="s">
        <v>108</v>
      </c>
      <c r="D57" s="7" t="s">
        <v>109</v>
      </c>
      <c r="E57" s="7">
        <v>3.5</v>
      </c>
      <c r="F57" s="13">
        <f>(PI()*(E57/2)^2)/144</f>
        <v>6.681338542790792E-2</v>
      </c>
      <c r="G57" s="9">
        <f>N57/(4*F57)</f>
        <v>624.87478717941212</v>
      </c>
      <c r="H57" s="7">
        <v>100</v>
      </c>
      <c r="I57" s="7">
        <v>50</v>
      </c>
      <c r="J57" s="7">
        <v>100</v>
      </c>
      <c r="K57" s="7" t="e">
        <f>#REF!/1000</f>
        <v>#REF!</v>
      </c>
      <c r="L57" s="12">
        <f>IF(H57&gt;0 &amp; I57&gt;0 &amp; J57&gt;0,H57*I57*J57/1000,0)</f>
        <v>500</v>
      </c>
      <c r="M57" s="11">
        <v>140</v>
      </c>
      <c r="N57" s="7">
        <f>111+56</f>
        <v>167</v>
      </c>
      <c r="O57" s="7">
        <v>5</v>
      </c>
      <c r="P57" s="7">
        <v>3000</v>
      </c>
      <c r="V57" s="7" t="s">
        <v>7</v>
      </c>
      <c r="W57" s="7">
        <v>56</v>
      </c>
      <c r="X57" s="7">
        <v>4</v>
      </c>
      <c r="Y57" s="7">
        <v>450</v>
      </c>
      <c r="Z57" s="9">
        <f>(X57*3.7)*(Y57/1000)</f>
        <v>6.66</v>
      </c>
      <c r="AA57" s="7">
        <v>1</v>
      </c>
      <c r="AC57" s="7" t="s">
        <v>8</v>
      </c>
      <c r="AD57" s="7" t="s">
        <v>24</v>
      </c>
      <c r="AE57" s="7" t="s">
        <v>11</v>
      </c>
      <c r="AF57" s="7" t="s">
        <v>11</v>
      </c>
      <c r="AG57" s="7" t="s">
        <v>11</v>
      </c>
      <c r="AH57" s="7" t="s">
        <v>11</v>
      </c>
      <c r="AI57" s="7">
        <v>0</v>
      </c>
      <c r="AJ57" s="16" t="s">
        <v>110</v>
      </c>
    </row>
    <row r="58" spans="1:37" x14ac:dyDescent="0.25">
      <c r="A58" s="7">
        <v>61</v>
      </c>
      <c r="B58" s="5" t="s">
        <v>108</v>
      </c>
      <c r="C58" s="7" t="s">
        <v>108</v>
      </c>
      <c r="D58" s="7" t="s">
        <v>111</v>
      </c>
      <c r="E58" s="7">
        <v>4</v>
      </c>
      <c r="F58" s="13">
        <f>(PI()*(E58/2)^2)/144</f>
        <v>8.7266462599716474E-2</v>
      </c>
      <c r="G58" s="9">
        <f>N58/(4*F58)</f>
        <v>714.19189163057115</v>
      </c>
      <c r="H58" s="7">
        <v>113</v>
      </c>
      <c r="J58" s="7">
        <v>113</v>
      </c>
      <c r="K58" s="7">
        <f>J58/1000</f>
        <v>0.113</v>
      </c>
      <c r="M58" s="11">
        <v>160</v>
      </c>
      <c r="N58" s="7">
        <f>148.3+101</f>
        <v>249.3</v>
      </c>
      <c r="O58" s="7">
        <v>7</v>
      </c>
      <c r="V58" s="7" t="s">
        <v>7</v>
      </c>
      <c r="W58" s="7">
        <v>56</v>
      </c>
      <c r="X58" s="7">
        <v>4</v>
      </c>
      <c r="Y58" s="7">
        <v>450</v>
      </c>
      <c r="Z58" s="9">
        <f>(X58*3.7)*(Y58/1000)</f>
        <v>6.66</v>
      </c>
      <c r="AA58" s="7">
        <v>1</v>
      </c>
      <c r="AC58" s="7" t="s">
        <v>8</v>
      </c>
      <c r="AD58" s="7" t="s">
        <v>24</v>
      </c>
      <c r="AE58" s="7" t="s">
        <v>11</v>
      </c>
      <c r="AF58" s="7" t="s">
        <v>11</v>
      </c>
      <c r="AG58" s="7" t="s">
        <v>11</v>
      </c>
      <c r="AH58" s="7" t="s">
        <v>11</v>
      </c>
      <c r="AI58" s="7">
        <v>0</v>
      </c>
    </row>
    <row r="59" spans="1:37" x14ac:dyDescent="0.25">
      <c r="A59" s="7">
        <v>62</v>
      </c>
      <c r="B59" s="5" t="s">
        <v>112</v>
      </c>
      <c r="C59" s="7" t="s">
        <v>112</v>
      </c>
      <c r="D59" s="7" t="s">
        <v>113</v>
      </c>
      <c r="E59" s="7">
        <v>5</v>
      </c>
      <c r="F59" s="13">
        <f>(PI()*(E59/2)^2)/144</f>
        <v>0.13635384781205701</v>
      </c>
      <c r="G59" s="9">
        <f>N59/(4*F59)</f>
        <v>2291.8311805232929</v>
      </c>
      <c r="K59" s="7">
        <f>J59/1000</f>
        <v>0</v>
      </c>
      <c r="M59" s="11">
        <v>261</v>
      </c>
      <c r="N59" s="7">
        <v>1250</v>
      </c>
      <c r="O59" s="7">
        <v>30</v>
      </c>
      <c r="P59" s="7">
        <v>5000</v>
      </c>
      <c r="Q59" s="7">
        <v>3000</v>
      </c>
      <c r="R59" s="7">
        <v>10</v>
      </c>
      <c r="S59" s="7">
        <v>2.5</v>
      </c>
      <c r="U59" s="7">
        <v>9</v>
      </c>
      <c r="V59" s="7" t="s">
        <v>27</v>
      </c>
      <c r="W59" s="7">
        <v>380</v>
      </c>
      <c r="X59" s="7">
        <v>6</v>
      </c>
      <c r="Y59" s="7">
        <v>3000</v>
      </c>
      <c r="Z59" s="9">
        <f>(X59*3.7)*(Y59/1000)</f>
        <v>66.600000000000009</v>
      </c>
      <c r="AA59" s="7">
        <v>1</v>
      </c>
      <c r="AC59" s="7" t="s">
        <v>8</v>
      </c>
      <c r="AD59" s="7" t="s">
        <v>9</v>
      </c>
      <c r="AE59" s="7" t="s">
        <v>10</v>
      </c>
      <c r="AF59" s="7" t="s">
        <v>11</v>
      </c>
      <c r="AG59" s="7" t="s">
        <v>10</v>
      </c>
      <c r="AH59" s="7" t="s">
        <v>12</v>
      </c>
      <c r="AI59" s="7" t="s">
        <v>13</v>
      </c>
      <c r="AJ59" s="15" t="s">
        <v>114</v>
      </c>
    </row>
    <row r="60" spans="1:37" x14ac:dyDescent="0.2">
      <c r="A60" s="7">
        <v>63</v>
      </c>
      <c r="B60" s="5" t="s">
        <v>115</v>
      </c>
      <c r="C60" s="7" t="s">
        <v>115</v>
      </c>
      <c r="D60" s="7" t="s">
        <v>116</v>
      </c>
      <c r="E60" s="7">
        <v>5</v>
      </c>
      <c r="F60" s="13">
        <f>(PI()*(E60/2)^2)/144</f>
        <v>0.13635384781205701</v>
      </c>
      <c r="G60" s="9">
        <f>N60/(4*F60)</f>
        <v>456.53277116023992</v>
      </c>
      <c r="H60" s="7">
        <v>260</v>
      </c>
      <c r="I60" s="7">
        <v>55</v>
      </c>
      <c r="J60" s="7">
        <v>325</v>
      </c>
      <c r="K60" s="7">
        <f>J60/1000</f>
        <v>0.32500000000000001</v>
      </c>
      <c r="L60" s="12">
        <f>IF(H60&gt;0 &amp; I60&gt;0 &amp; J60&gt;0,H60*I60*J60/1000,0)</f>
        <v>4647.5</v>
      </c>
      <c r="M60" s="11">
        <v>231</v>
      </c>
      <c r="N60" s="7">
        <v>249</v>
      </c>
      <c r="O60" s="7">
        <v>28</v>
      </c>
      <c r="P60" s="7">
        <v>16800</v>
      </c>
      <c r="Q60" s="7">
        <v>4000</v>
      </c>
      <c r="R60" s="7">
        <v>15</v>
      </c>
      <c r="S60" s="7">
        <v>5</v>
      </c>
      <c r="T60" s="7">
        <v>4</v>
      </c>
      <c r="U60" s="7">
        <v>10.7</v>
      </c>
      <c r="V60" s="7" t="s">
        <v>7</v>
      </c>
      <c r="W60" s="7">
        <v>83</v>
      </c>
      <c r="X60" s="7">
        <v>2</v>
      </c>
      <c r="Y60" s="7">
        <v>2250</v>
      </c>
      <c r="Z60" s="9">
        <f>(X60*3.7)*(Y60/1000)</f>
        <v>16.650000000000002</v>
      </c>
      <c r="AA60" s="7">
        <v>1</v>
      </c>
      <c r="AB60" s="7">
        <v>90</v>
      </c>
      <c r="AC60" s="7" t="s">
        <v>8</v>
      </c>
      <c r="AD60" s="7" t="s">
        <v>117</v>
      </c>
      <c r="AE60" s="7" t="s">
        <v>10</v>
      </c>
      <c r="AF60" s="7" t="s">
        <v>11</v>
      </c>
      <c r="AG60" s="7" t="s">
        <v>10</v>
      </c>
      <c r="AH60" s="7" t="s">
        <v>15</v>
      </c>
      <c r="AI60" s="7" t="s">
        <v>13</v>
      </c>
      <c r="AJ60" s="15" t="s">
        <v>118</v>
      </c>
      <c r="AK60" s="16" t="s">
        <v>119</v>
      </c>
    </row>
    <row r="61" spans="1:37" x14ac:dyDescent="0.2">
      <c r="A61" s="7">
        <v>64</v>
      </c>
      <c r="B61" s="5" t="s">
        <v>115</v>
      </c>
      <c r="C61" s="7" t="s">
        <v>115</v>
      </c>
      <c r="D61" s="7" t="s">
        <v>120</v>
      </c>
      <c r="E61" s="7">
        <v>8.5</v>
      </c>
      <c r="F61" s="13">
        <f>(PI()*(E61/2)^2)/144</f>
        <v>0.39406262017684468</v>
      </c>
      <c r="G61" s="9">
        <f>N61/(4*F61)</f>
        <v>529.73814138047055</v>
      </c>
      <c r="H61" s="7">
        <v>427</v>
      </c>
      <c r="I61" s="7">
        <v>95</v>
      </c>
      <c r="J61" s="7">
        <v>384</v>
      </c>
      <c r="K61" s="7">
        <f>J61/1000</f>
        <v>0.38400000000000001</v>
      </c>
      <c r="L61" s="12">
        <f>IF(H61&gt;0 &amp; I61&gt;0 &amp; J61&gt;0,H61*I61*J61/1000,0)</f>
        <v>15576.96</v>
      </c>
      <c r="M61" s="11">
        <f>SQRT(H61^2 + J61^2)</f>
        <v>574.26910068364293</v>
      </c>
      <c r="N61" s="7">
        <v>835</v>
      </c>
      <c r="O61" s="7">
        <v>40</v>
      </c>
      <c r="P61" s="7">
        <v>24000</v>
      </c>
      <c r="Q61" s="7">
        <v>4000</v>
      </c>
      <c r="R61" s="7">
        <v>18</v>
      </c>
      <c r="S61" s="7">
        <v>5</v>
      </c>
      <c r="T61" s="7">
        <v>4</v>
      </c>
      <c r="U61" s="7">
        <v>17.100000000000001</v>
      </c>
      <c r="V61" s="7" t="s">
        <v>7</v>
      </c>
      <c r="W61" s="7">
        <v>306</v>
      </c>
      <c r="X61" s="7">
        <v>3</v>
      </c>
      <c r="Y61" s="7">
        <v>6175</v>
      </c>
      <c r="Z61" s="9">
        <f>(X61*3.7)*(Y61/1000)</f>
        <v>68.542500000000004</v>
      </c>
      <c r="AA61" s="7">
        <v>1</v>
      </c>
      <c r="AB61" s="7">
        <v>90</v>
      </c>
      <c r="AC61" s="7" t="s">
        <v>8</v>
      </c>
      <c r="AD61" s="7" t="s">
        <v>117</v>
      </c>
      <c r="AE61" s="7" t="s">
        <v>10</v>
      </c>
      <c r="AF61" s="7" t="s">
        <v>11</v>
      </c>
      <c r="AG61" s="7" t="s">
        <v>10</v>
      </c>
      <c r="AH61" s="7" t="s">
        <v>15</v>
      </c>
      <c r="AI61" s="7" t="s">
        <v>76</v>
      </c>
      <c r="AJ61" s="16" t="s">
        <v>121</v>
      </c>
    </row>
    <row r="62" spans="1:37" x14ac:dyDescent="0.25">
      <c r="A62" s="7">
        <v>65</v>
      </c>
      <c r="B62" s="5" t="s">
        <v>115</v>
      </c>
      <c r="C62" s="7" t="s">
        <v>115</v>
      </c>
      <c r="D62" s="7" t="s">
        <v>122</v>
      </c>
      <c r="E62" s="7">
        <v>9</v>
      </c>
      <c r="F62" s="13">
        <f>(PI()*(E62/2)^2)/144</f>
        <v>0.44178646691106466</v>
      </c>
      <c r="G62" s="9">
        <f>N62/(4*F62)</f>
        <v>1131.7684842090334</v>
      </c>
      <c r="H62" s="7">
        <v>457</v>
      </c>
      <c r="I62" s="7">
        <v>108</v>
      </c>
      <c r="J62" s="7">
        <v>558</v>
      </c>
      <c r="K62" s="7">
        <f>J62/1000</f>
        <v>0.55800000000000005</v>
      </c>
      <c r="L62" s="12">
        <f>IF(H62&gt;0 &amp; I62&gt;0 &amp; J62&gt;0,H62*I62*J62/1000,0)</f>
        <v>27540.648000000001</v>
      </c>
      <c r="M62" s="11">
        <f>SQRT(H62^2 + J62^2)</f>
        <v>721.25792889922536</v>
      </c>
      <c r="N62" s="7">
        <v>2000</v>
      </c>
      <c r="O62" s="7">
        <v>40</v>
      </c>
      <c r="P62" s="7">
        <v>15000</v>
      </c>
      <c r="Q62" s="7">
        <v>7000</v>
      </c>
      <c r="R62" s="7">
        <v>20</v>
      </c>
      <c r="S62" s="7">
        <v>8</v>
      </c>
      <c r="T62" s="7">
        <v>4</v>
      </c>
      <c r="U62" s="7">
        <v>20.7</v>
      </c>
      <c r="V62" s="7" t="s">
        <v>7</v>
      </c>
      <c r="W62" s="7">
        <v>365</v>
      </c>
      <c r="X62" s="7">
        <v>3</v>
      </c>
      <c r="Y62" s="7">
        <v>7100</v>
      </c>
      <c r="Z62" s="9">
        <f>(X62*3.7)*(Y62/1000)</f>
        <v>78.81</v>
      </c>
      <c r="AA62" s="7">
        <v>1</v>
      </c>
      <c r="AB62" s="7">
        <v>90</v>
      </c>
      <c r="AC62" s="7" t="s">
        <v>8</v>
      </c>
      <c r="AD62" s="7" t="s">
        <v>82</v>
      </c>
      <c r="AE62" s="7" t="s">
        <v>10</v>
      </c>
      <c r="AF62" s="7" t="s">
        <v>10</v>
      </c>
      <c r="AG62" s="7" t="s">
        <v>10</v>
      </c>
      <c r="AH62" s="7" t="s">
        <v>15</v>
      </c>
      <c r="AI62" s="7" t="s">
        <v>76</v>
      </c>
    </row>
    <row r="63" spans="1:37" x14ac:dyDescent="0.25">
      <c r="A63" s="7">
        <v>66</v>
      </c>
      <c r="B63" s="5" t="s">
        <v>115</v>
      </c>
      <c r="C63" s="7" t="s">
        <v>115</v>
      </c>
      <c r="D63" s="7" t="s">
        <v>123</v>
      </c>
      <c r="E63" s="7">
        <v>9</v>
      </c>
      <c r="F63" s="13">
        <f>(PI()*(E63/2)^2)/144</f>
        <v>0.44178646691106466</v>
      </c>
      <c r="G63" s="9">
        <f>N63/(4*F63)</f>
        <v>1131.7684842090334</v>
      </c>
      <c r="H63" s="7">
        <v>457</v>
      </c>
      <c r="I63" s="7">
        <v>108</v>
      </c>
      <c r="J63" s="7">
        <v>558</v>
      </c>
      <c r="K63" s="7">
        <f>J63/1000</f>
        <v>0.55800000000000005</v>
      </c>
      <c r="L63" s="12">
        <f>IF(H63&gt;0 &amp; I63&gt;0 &amp; J63&gt;0,H63*I63*J63/1000,0)</f>
        <v>27540.648000000001</v>
      </c>
      <c r="M63" s="11">
        <f>SQRT(H63^2 + J63^2)</f>
        <v>721.25792889922536</v>
      </c>
      <c r="N63" s="7">
        <v>2000</v>
      </c>
      <c r="O63" s="7">
        <v>38</v>
      </c>
      <c r="P63" s="7">
        <v>9000</v>
      </c>
      <c r="Q63" s="7">
        <v>7000</v>
      </c>
      <c r="R63" s="7">
        <v>20</v>
      </c>
      <c r="S63" s="7">
        <v>8</v>
      </c>
      <c r="T63" s="7">
        <v>4</v>
      </c>
      <c r="U63" s="7">
        <v>20.7</v>
      </c>
      <c r="V63" s="7" t="s">
        <v>7</v>
      </c>
      <c r="W63" s="7">
        <v>365</v>
      </c>
      <c r="X63" s="7">
        <v>3</v>
      </c>
      <c r="Y63" s="7">
        <v>7100</v>
      </c>
      <c r="Z63" s="9">
        <f>(X63*3.7)*(Y63/1000)</f>
        <v>78.81</v>
      </c>
      <c r="AA63" s="7">
        <v>1</v>
      </c>
      <c r="AB63" s="7">
        <v>90</v>
      </c>
      <c r="AC63" s="7" t="s">
        <v>8</v>
      </c>
      <c r="AD63" s="7" t="s">
        <v>24</v>
      </c>
      <c r="AE63" s="7" t="s">
        <v>10</v>
      </c>
      <c r="AF63" s="7" t="s">
        <v>10</v>
      </c>
      <c r="AG63" s="7" t="s">
        <v>10</v>
      </c>
      <c r="AH63" s="7" t="s">
        <v>12</v>
      </c>
      <c r="AI63" s="7" t="s">
        <v>124</v>
      </c>
    </row>
    <row r="64" spans="1:37" x14ac:dyDescent="0.2">
      <c r="A64" s="7">
        <v>67</v>
      </c>
      <c r="B64" s="5" t="s">
        <v>115</v>
      </c>
      <c r="C64" s="7" t="s">
        <v>115</v>
      </c>
      <c r="D64" s="7" t="s">
        <v>125</v>
      </c>
      <c r="E64" s="7">
        <v>10.5</v>
      </c>
      <c r="F64" s="13">
        <f>(PI()*(E64/2)^2)/144</f>
        <v>0.6013204688511713</v>
      </c>
      <c r="G64" s="9">
        <f>N64/(4*F64)</f>
        <v>831.50337615357569</v>
      </c>
      <c r="H64" s="7">
        <v>506</v>
      </c>
      <c r="I64" s="7">
        <v>111</v>
      </c>
      <c r="J64" s="7">
        <v>620</v>
      </c>
      <c r="K64" s="7">
        <f>J64/1000</f>
        <v>0.62</v>
      </c>
      <c r="L64" s="12">
        <f>IF(H64&gt;0 &amp; I64&gt;0 &amp; J64&gt;0,H64*I64*J64/1000,0)</f>
        <v>34822.92</v>
      </c>
      <c r="M64" s="11">
        <f>SQRT(H64^2 + J64^2)</f>
        <v>800.27245360564552</v>
      </c>
      <c r="N64" s="7">
        <v>2000</v>
      </c>
      <c r="O64" s="7">
        <v>42</v>
      </c>
      <c r="P64" s="7">
        <v>13000</v>
      </c>
      <c r="Q64" s="7">
        <v>7000</v>
      </c>
      <c r="R64" s="7">
        <v>20</v>
      </c>
      <c r="S64" s="7">
        <v>8</v>
      </c>
      <c r="T64" s="7">
        <v>4</v>
      </c>
      <c r="U64" s="7">
        <v>20</v>
      </c>
      <c r="V64" s="7" t="s">
        <v>7</v>
      </c>
      <c r="W64" s="7">
        <v>365</v>
      </c>
      <c r="X64" s="7">
        <v>3</v>
      </c>
      <c r="Y64" s="7">
        <v>7100</v>
      </c>
      <c r="Z64" s="9">
        <f>(X64*3.7)*(Y64/1000)</f>
        <v>78.81</v>
      </c>
      <c r="AA64" s="7">
        <v>1</v>
      </c>
      <c r="AB64" s="7">
        <v>90</v>
      </c>
      <c r="AC64" s="7" t="s">
        <v>8</v>
      </c>
      <c r="AD64" s="7" t="s">
        <v>9</v>
      </c>
      <c r="AE64" s="7" t="s">
        <v>10</v>
      </c>
      <c r="AF64" s="7" t="s">
        <v>10</v>
      </c>
      <c r="AG64" s="7" t="s">
        <v>10</v>
      </c>
      <c r="AH64" s="7" t="s">
        <v>12</v>
      </c>
      <c r="AI64" s="7">
        <v>1080</v>
      </c>
      <c r="AJ64" s="16" t="s">
        <v>126</v>
      </c>
    </row>
    <row r="65" spans="1:37" x14ac:dyDescent="0.25">
      <c r="A65" s="7">
        <v>68</v>
      </c>
      <c r="B65" s="5" t="s">
        <v>115</v>
      </c>
      <c r="C65" s="7" t="s">
        <v>115</v>
      </c>
      <c r="D65" s="7" t="s">
        <v>127</v>
      </c>
      <c r="E65" s="7">
        <v>9</v>
      </c>
      <c r="F65" s="13">
        <f>(PI()*(E65/2)^2)/144</f>
        <v>0.44178646691106466</v>
      </c>
      <c r="G65" s="9">
        <f>N65/(4*F65)</f>
        <v>699.99880748328724</v>
      </c>
      <c r="H65" s="7">
        <v>457</v>
      </c>
      <c r="I65" s="7">
        <v>143</v>
      </c>
      <c r="J65" s="7">
        <v>558</v>
      </c>
      <c r="K65" s="7">
        <f>J65/1000</f>
        <v>0.55800000000000005</v>
      </c>
      <c r="L65" s="12">
        <f>IF(H65&gt;0 &amp; I65&gt;0 &amp; J65&gt;0,H65*I65*J65/1000,0)</f>
        <v>36465.858</v>
      </c>
      <c r="M65" s="11">
        <f>SQRT(H65^2 + J65^2)</f>
        <v>721.25792889922536</v>
      </c>
      <c r="N65" s="7">
        <v>1237</v>
      </c>
      <c r="O65" s="7">
        <v>36</v>
      </c>
      <c r="P65" s="7">
        <v>9000</v>
      </c>
      <c r="Q65" s="7">
        <v>6000</v>
      </c>
      <c r="R65" s="7">
        <v>20</v>
      </c>
      <c r="S65" s="7">
        <v>8</v>
      </c>
      <c r="T65" s="7">
        <v>4</v>
      </c>
      <c r="U65" s="7">
        <v>20.7</v>
      </c>
      <c r="V65" s="7" t="s">
        <v>7</v>
      </c>
      <c r="W65" s="7">
        <v>365</v>
      </c>
      <c r="X65" s="7">
        <v>3</v>
      </c>
      <c r="Y65" s="7">
        <v>7100</v>
      </c>
      <c r="Z65" s="9">
        <f>(X65*3.7)*(Y65/1000)</f>
        <v>78.81</v>
      </c>
      <c r="AA65" s="7">
        <v>1</v>
      </c>
      <c r="AB65" s="7">
        <v>90</v>
      </c>
      <c r="AC65" s="7" t="s">
        <v>8</v>
      </c>
      <c r="AD65" s="7" t="s">
        <v>82</v>
      </c>
      <c r="AE65" s="7" t="s">
        <v>10</v>
      </c>
      <c r="AF65" s="7" t="s">
        <v>10</v>
      </c>
      <c r="AG65" s="7" t="s">
        <v>10</v>
      </c>
      <c r="AH65" s="7" t="s">
        <v>15</v>
      </c>
      <c r="AI65" s="7" t="s">
        <v>76</v>
      </c>
    </row>
    <row r="66" spans="1:37" x14ac:dyDescent="0.25">
      <c r="A66" s="7">
        <v>69</v>
      </c>
      <c r="B66" s="5" t="s">
        <v>128</v>
      </c>
      <c r="C66" s="7" t="s">
        <v>128</v>
      </c>
      <c r="D66" s="7" t="s">
        <v>129</v>
      </c>
      <c r="E66" s="7">
        <v>6.5</v>
      </c>
      <c r="F66" s="13">
        <f>(PI()*(E66/2)^2)/144</f>
        <v>0.23043800280237633</v>
      </c>
      <c r="G66" s="9">
        <f>N66/(4*F66)</f>
        <v>574.99196481767819</v>
      </c>
      <c r="H66" s="7">
        <v>171</v>
      </c>
      <c r="I66" s="7">
        <v>80</v>
      </c>
      <c r="J66" s="7">
        <v>255</v>
      </c>
      <c r="K66" s="7">
        <f>J66/1000</f>
        <v>0.255</v>
      </c>
      <c r="L66" s="12">
        <f>IF(H66&gt;0 &amp; I66&gt;0 &amp; J66&gt;0,H66*I66*J66/1000,0)</f>
        <v>3488.4</v>
      </c>
      <c r="M66" s="11">
        <f>SQRT(H66^2 + J66^2)</f>
        <v>307.02768604801747</v>
      </c>
      <c r="N66" s="7">
        <v>530</v>
      </c>
      <c r="O66" s="7">
        <v>32</v>
      </c>
      <c r="P66" s="7">
        <v>5000</v>
      </c>
      <c r="Q66" s="7">
        <v>5000</v>
      </c>
      <c r="R66" s="7">
        <v>17</v>
      </c>
      <c r="S66" s="7">
        <v>5</v>
      </c>
      <c r="T66" s="7">
        <v>3.5</v>
      </c>
      <c r="U66" s="7">
        <v>10.7</v>
      </c>
      <c r="V66" s="7" t="s">
        <v>7</v>
      </c>
      <c r="W66" s="7">
        <v>196</v>
      </c>
      <c r="X66" s="7">
        <v>3</v>
      </c>
      <c r="Y66" s="7">
        <v>3100</v>
      </c>
      <c r="Z66" s="9">
        <f>(X66*3.7)*(Y66/1000)</f>
        <v>34.410000000000004</v>
      </c>
      <c r="AA66" s="7">
        <v>1</v>
      </c>
      <c r="AB66" s="7">
        <f>5*60</f>
        <v>300</v>
      </c>
      <c r="AC66" s="7" t="s">
        <v>8</v>
      </c>
      <c r="AD66" s="7" t="s">
        <v>9</v>
      </c>
      <c r="AE66" s="7" t="s">
        <v>10</v>
      </c>
      <c r="AF66" s="7" t="s">
        <v>11</v>
      </c>
      <c r="AG66" s="7" t="s">
        <v>10</v>
      </c>
      <c r="AH66" s="7" t="s">
        <v>15</v>
      </c>
      <c r="AI66" s="7" t="s">
        <v>13</v>
      </c>
    </row>
    <row r="67" spans="1:37" x14ac:dyDescent="0.2">
      <c r="A67" s="7">
        <v>70</v>
      </c>
      <c r="B67" s="5" t="s">
        <v>130</v>
      </c>
      <c r="C67" s="7" t="s">
        <v>130</v>
      </c>
      <c r="D67" s="7" t="s">
        <v>131</v>
      </c>
      <c r="E67" s="7">
        <v>6</v>
      </c>
      <c r="F67" s="13">
        <f>(PI()*(E67/2)^2)/144</f>
        <v>0.19634954084936207</v>
      </c>
      <c r="G67" s="9">
        <f>N67/(4*F67)</f>
        <v>713.01414505169112</v>
      </c>
      <c r="H67" s="7">
        <f>17.72*25.4</f>
        <v>450.08799999999997</v>
      </c>
      <c r="I67" s="7">
        <f>3.15*25.4</f>
        <v>80.009999999999991</v>
      </c>
      <c r="J67" s="7">
        <f>15.94*25.4</f>
        <v>404.87599999999998</v>
      </c>
      <c r="K67" s="7">
        <f>J67/1000</f>
        <v>0.40487599999999996</v>
      </c>
      <c r="L67" s="12">
        <f>IF(H67&gt;0 &amp; I67&gt;0 &amp; J67&gt;0,H67*I67*J67/1000,0)</f>
        <v>14580.208625330877</v>
      </c>
      <c r="M67" s="11">
        <f>SQRT(H67^2 + J67^2)</f>
        <v>605.39555921727731</v>
      </c>
      <c r="N67" s="7">
        <v>560</v>
      </c>
      <c r="O67" s="7">
        <v>28</v>
      </c>
      <c r="P67" s="7">
        <v>3000</v>
      </c>
      <c r="Q67" s="7">
        <v>3000</v>
      </c>
      <c r="R67" s="7">
        <v>12</v>
      </c>
      <c r="S67" s="7">
        <v>4.5</v>
      </c>
      <c r="T67" s="7">
        <v>1.5</v>
      </c>
      <c r="U67" s="7">
        <v>13.8</v>
      </c>
      <c r="V67" s="7" t="s">
        <v>7</v>
      </c>
      <c r="W67" s="7">
        <v>200</v>
      </c>
      <c r="X67" s="7">
        <v>3</v>
      </c>
      <c r="Y67" s="7">
        <v>2500</v>
      </c>
      <c r="Z67" s="9">
        <f>(X67*3.7)*(Y67/1000)</f>
        <v>27.750000000000004</v>
      </c>
      <c r="AA67" s="7">
        <v>1</v>
      </c>
      <c r="AB67" s="7">
        <f>4.5*60</f>
        <v>270</v>
      </c>
      <c r="AC67" s="7" t="s">
        <v>8</v>
      </c>
      <c r="AD67" s="7" t="s">
        <v>9</v>
      </c>
      <c r="AE67" s="7" t="s">
        <v>11</v>
      </c>
      <c r="AF67" s="7" t="s">
        <v>11</v>
      </c>
      <c r="AG67" s="7" t="s">
        <v>10</v>
      </c>
      <c r="AH67" s="7" t="s">
        <v>15</v>
      </c>
      <c r="AI67" s="7" t="s">
        <v>13</v>
      </c>
      <c r="AJ67" s="16" t="s">
        <v>132</v>
      </c>
      <c r="AK67" s="16" t="s">
        <v>133</v>
      </c>
    </row>
    <row r="68" spans="1:37" x14ac:dyDescent="0.25">
      <c r="A68" s="7">
        <v>71</v>
      </c>
      <c r="B68" s="5" t="s">
        <v>42</v>
      </c>
      <c r="C68" s="7" t="s">
        <v>42</v>
      </c>
      <c r="D68" s="7" t="s">
        <v>134</v>
      </c>
      <c r="E68" s="7">
        <v>5.55</v>
      </c>
      <c r="F68" s="13">
        <f>(PI()*(E68/2)^2)/144</f>
        <v>0.16800157588923539</v>
      </c>
      <c r="G68" s="9">
        <f>N68/(4*F68)</f>
        <v>291.96154702941004</v>
      </c>
      <c r="I68" s="7">
        <v>83</v>
      </c>
      <c r="K68" s="7">
        <f>J68/1000</f>
        <v>0</v>
      </c>
      <c r="M68" s="11">
        <v>300</v>
      </c>
      <c r="N68" s="7">
        <v>196.2</v>
      </c>
      <c r="O68" s="7">
        <v>32</v>
      </c>
      <c r="P68" s="7">
        <v>600</v>
      </c>
      <c r="Q68" s="7">
        <v>250</v>
      </c>
      <c r="R68" s="7">
        <v>6.7</v>
      </c>
      <c r="S68" s="7">
        <v>4</v>
      </c>
      <c r="T68" s="7">
        <v>2.5</v>
      </c>
      <c r="U68" s="7">
        <v>5.5</v>
      </c>
      <c r="V68" s="7" t="s">
        <v>7</v>
      </c>
      <c r="W68" s="7">
        <v>112</v>
      </c>
      <c r="X68" s="7">
        <v>2</v>
      </c>
      <c r="Y68" s="7">
        <v>3000</v>
      </c>
      <c r="Z68" s="9">
        <f>(X68*3.7)*(Y68/1000)</f>
        <v>22.200000000000003</v>
      </c>
      <c r="AA68" s="7">
        <v>1</v>
      </c>
      <c r="AB68" s="7">
        <f>6*60</f>
        <v>360</v>
      </c>
      <c r="AC68" s="7" t="s">
        <v>8</v>
      </c>
      <c r="AD68" s="7" t="s">
        <v>9</v>
      </c>
      <c r="AE68" s="7" t="s">
        <v>10</v>
      </c>
      <c r="AF68" s="7" t="s">
        <v>11</v>
      </c>
      <c r="AG68" s="7" t="s">
        <v>10</v>
      </c>
      <c r="AH68" s="7" t="s">
        <v>15</v>
      </c>
      <c r="AI68" s="7">
        <v>1080</v>
      </c>
    </row>
    <row r="69" spans="1:37" x14ac:dyDescent="0.25">
      <c r="A69" s="7">
        <v>72</v>
      </c>
      <c r="B69" s="8" t="s">
        <v>49</v>
      </c>
      <c r="C69" s="7" t="s">
        <v>49</v>
      </c>
      <c r="D69" s="7" t="s">
        <v>135</v>
      </c>
      <c r="E69" s="7">
        <v>2.5</v>
      </c>
      <c r="F69" s="13">
        <f>(PI()*(E69/2)^2)/144</f>
        <v>3.4088461953014251E-2</v>
      </c>
      <c r="G69" s="9">
        <f>N69/(4*F69)</f>
        <v>1826.1310846409597</v>
      </c>
      <c r="H69" s="7">
        <v>297</v>
      </c>
      <c r="I69" s="7">
        <v>56</v>
      </c>
      <c r="J69" s="7">
        <v>215</v>
      </c>
      <c r="L69" s="12">
        <f>IF(H69&gt;0 &amp; I69&gt;0 &amp; J69&gt;0,H69*I69*J69/1000,0)</f>
        <v>3575.88</v>
      </c>
      <c r="M69" s="11">
        <f>SQRT(H69^2 + J69^2)</f>
        <v>366.65242396580442</v>
      </c>
      <c r="N69" s="7">
        <v>249</v>
      </c>
      <c r="O69" s="7">
        <v>20</v>
      </c>
      <c r="P69" s="7">
        <v>3000</v>
      </c>
      <c r="V69" s="7" t="s">
        <v>7</v>
      </c>
      <c r="X69" s="7">
        <v>2</v>
      </c>
      <c r="Y69" s="7">
        <v>1500</v>
      </c>
      <c r="Z69" s="9">
        <f>(X69*3.7)*(Y69/1000)</f>
        <v>11.100000000000001</v>
      </c>
      <c r="AA69" s="7">
        <v>1</v>
      </c>
      <c r="AB69" s="7">
        <v>180</v>
      </c>
      <c r="AC69" s="7" t="s">
        <v>8</v>
      </c>
      <c r="AD69" s="7" t="s">
        <v>24</v>
      </c>
      <c r="AE69" s="7" t="s">
        <v>11</v>
      </c>
      <c r="AF69" s="7" t="s">
        <v>11</v>
      </c>
      <c r="AG69" s="7" t="s">
        <v>10</v>
      </c>
      <c r="AH69" s="7" t="s">
        <v>15</v>
      </c>
      <c r="AI69" s="7" t="s">
        <v>13</v>
      </c>
    </row>
    <row r="70" spans="1:37" x14ac:dyDescent="0.25">
      <c r="A70" s="7">
        <v>73</v>
      </c>
      <c r="B70" s="5" t="s">
        <v>49</v>
      </c>
      <c r="C70" s="7" t="s">
        <v>49</v>
      </c>
      <c r="D70" s="7" t="s">
        <v>136</v>
      </c>
      <c r="E70" s="7">
        <v>11.3</v>
      </c>
      <c r="F70" s="13">
        <f>(PI()*(E70/2)^2)/144</f>
        <v>0.69644091308486233</v>
      </c>
      <c r="G70" s="9">
        <f>N70/(4*F70)</f>
        <v>177.68915880006733</v>
      </c>
      <c r="H70" s="7">
        <v>337</v>
      </c>
      <c r="I70" s="7">
        <v>58</v>
      </c>
      <c r="J70" s="7">
        <v>240</v>
      </c>
      <c r="L70" s="12">
        <f>IF(H70&gt;0 &amp; I70&gt;0 &amp; J70&gt;0,H70*I70*J70/1000,0)</f>
        <v>4691.04</v>
      </c>
      <c r="M70" s="11">
        <f>SQRT(H70^2 + J70^2)</f>
        <v>413.72575457662771</v>
      </c>
      <c r="N70" s="7">
        <v>495</v>
      </c>
      <c r="O70" s="7">
        <v>23</v>
      </c>
      <c r="P70" s="7">
        <v>1000</v>
      </c>
      <c r="R70" s="7">
        <v>19.600000000000001</v>
      </c>
      <c r="V70" s="7" t="s">
        <v>7</v>
      </c>
      <c r="X70" s="7">
        <v>2</v>
      </c>
      <c r="Y70" s="7">
        <v>2800</v>
      </c>
      <c r="Z70" s="9">
        <f>(X70*3.7)*(Y70/1000)</f>
        <v>20.72</v>
      </c>
      <c r="AA70" s="7">
        <v>1</v>
      </c>
      <c r="AB70" s="7">
        <v>300</v>
      </c>
      <c r="AC70" s="7" t="s">
        <v>8</v>
      </c>
      <c r="AD70" s="7" t="s">
        <v>24</v>
      </c>
      <c r="AE70" s="7" t="s">
        <v>11</v>
      </c>
      <c r="AF70" s="7" t="s">
        <v>11</v>
      </c>
      <c r="AG70" s="7" t="s">
        <v>10</v>
      </c>
      <c r="AH70" s="7" t="s">
        <v>15</v>
      </c>
      <c r="AI70" s="7" t="s">
        <v>13</v>
      </c>
      <c r="AJ70" s="14" t="s">
        <v>166</v>
      </c>
    </row>
    <row r="71" spans="1:37" x14ac:dyDescent="0.25">
      <c r="A71" s="7">
        <v>74</v>
      </c>
      <c r="B71" s="5" t="s">
        <v>49</v>
      </c>
      <c r="C71" s="7" t="s">
        <v>49</v>
      </c>
      <c r="D71" s="7" t="s">
        <v>137</v>
      </c>
      <c r="E71" s="7">
        <v>9</v>
      </c>
      <c r="F71" s="13">
        <f>(PI()*(E71/2)^2)/144</f>
        <v>0.44178646691106466</v>
      </c>
      <c r="G71" s="9">
        <f>N71/(4*F71)</f>
        <v>135.81221810508401</v>
      </c>
      <c r="H71" s="7">
        <v>268</v>
      </c>
      <c r="I71" s="7">
        <v>54</v>
      </c>
      <c r="J71" s="7">
        <v>301</v>
      </c>
      <c r="L71" s="12">
        <f>IF(H71&gt;0 &amp; I71&gt;0 &amp; J71&gt;0,H71*I71*J71/1000,0)</f>
        <v>4356.0720000000001</v>
      </c>
      <c r="M71" s="11">
        <f>SQRT(H71^2 + J71^2)</f>
        <v>403.01985062773275</v>
      </c>
      <c r="N71" s="7">
        <v>240</v>
      </c>
      <c r="O71" s="7">
        <v>25</v>
      </c>
      <c r="P71" s="7">
        <v>600</v>
      </c>
      <c r="V71" s="7" t="s">
        <v>7</v>
      </c>
      <c r="X71" s="7">
        <v>2</v>
      </c>
      <c r="Y71" s="7">
        <v>1820</v>
      </c>
      <c r="Z71" s="9">
        <f>(X71*3.7)*(Y71/1000)</f>
        <v>13.468000000000002</v>
      </c>
      <c r="AA71" s="7">
        <v>1</v>
      </c>
      <c r="AB71" s="7">
        <f>2.5*60</f>
        <v>150</v>
      </c>
      <c r="AC71" s="7" t="s">
        <v>8</v>
      </c>
      <c r="AD71" s="7" t="s">
        <v>24</v>
      </c>
      <c r="AE71" s="7" t="s">
        <v>11</v>
      </c>
      <c r="AF71" s="7" t="s">
        <v>11</v>
      </c>
      <c r="AG71" s="7" t="s">
        <v>10</v>
      </c>
      <c r="AH71" s="7" t="s">
        <v>15</v>
      </c>
      <c r="AI71" s="7" t="s">
        <v>13</v>
      </c>
    </row>
    <row r="72" spans="1:37" x14ac:dyDescent="0.25">
      <c r="A72" s="7">
        <v>75</v>
      </c>
      <c r="B72" s="5" t="s">
        <v>138</v>
      </c>
      <c r="C72" s="7" t="s">
        <v>138</v>
      </c>
      <c r="D72" s="7" t="s">
        <v>139</v>
      </c>
      <c r="E72" s="7">
        <v>7.5</v>
      </c>
      <c r="F72" s="13">
        <f>(PI()*(E72/2)^2)/144</f>
        <v>0.30679615757712825</v>
      </c>
      <c r="G72" s="9">
        <f>N72/(4*F72)</f>
        <v>476.70088554884489</v>
      </c>
      <c r="H72" s="7">
        <v>405</v>
      </c>
      <c r="I72" s="7">
        <v>80</v>
      </c>
      <c r="J72" s="7">
        <v>450</v>
      </c>
      <c r="L72" s="12">
        <f>IF(H72&gt;0 &amp; I72&gt;0 &amp; J72&gt;0,H72*I72*J72/1000,0)</f>
        <v>14580</v>
      </c>
      <c r="M72" s="11">
        <f>SQRT(H72^2 + J72^2)</f>
        <v>605.41308211831699</v>
      </c>
      <c r="N72" s="7">
        <v>585</v>
      </c>
      <c r="O72" s="7">
        <v>28</v>
      </c>
      <c r="P72" s="7">
        <v>3000</v>
      </c>
      <c r="V72" s="7" t="s">
        <v>7</v>
      </c>
      <c r="X72" s="7">
        <v>3</v>
      </c>
      <c r="Y72" s="7">
        <v>2500</v>
      </c>
      <c r="Z72" s="9">
        <f>(X72*3.7)*(Y72/1000)</f>
        <v>27.750000000000004</v>
      </c>
      <c r="AA72" s="7">
        <v>1</v>
      </c>
      <c r="AB72" s="7">
        <v>300</v>
      </c>
      <c r="AC72" s="7" t="s">
        <v>8</v>
      </c>
      <c r="AD72" s="7" t="s">
        <v>24</v>
      </c>
      <c r="AE72" s="7" t="s">
        <v>11</v>
      </c>
      <c r="AF72" s="7" t="s">
        <v>11</v>
      </c>
      <c r="AG72" s="7" t="s">
        <v>10</v>
      </c>
      <c r="AH72" s="7" t="s">
        <v>15</v>
      </c>
      <c r="AI72" s="7" t="s">
        <v>13</v>
      </c>
    </row>
    <row r="73" spans="1:37" x14ac:dyDescent="0.25">
      <c r="A73" s="7">
        <v>76</v>
      </c>
      <c r="B73" s="5" t="s">
        <v>140</v>
      </c>
      <c r="C73" s="7" t="s">
        <v>140</v>
      </c>
      <c r="D73" s="7" t="s">
        <v>141</v>
      </c>
      <c r="E73" s="7">
        <v>6.5</v>
      </c>
      <c r="F73" s="13">
        <f>(PI()*(E73/2)^2)/144</f>
        <v>0.23043800280237633</v>
      </c>
      <c r="G73" s="9">
        <f>N73/(4*F73)</f>
        <v>270.13773441434313</v>
      </c>
      <c r="H73" s="7">
        <v>300</v>
      </c>
      <c r="I73" s="7">
        <v>58</v>
      </c>
      <c r="J73" s="7">
        <v>242</v>
      </c>
      <c r="L73" s="12">
        <f>IF(H73&gt;0 &amp; I73&gt;0 &amp; J73&gt;0,H73*I73*J73/1000,0)</f>
        <v>4210.8</v>
      </c>
      <c r="M73" s="11">
        <f>SQRT(H73^2 + J73^2)</f>
        <v>385.4400083022</v>
      </c>
      <c r="N73" s="7">
        <v>249</v>
      </c>
      <c r="O73" s="7">
        <v>31</v>
      </c>
      <c r="P73" s="7">
        <v>4000</v>
      </c>
      <c r="R73" s="7">
        <v>16</v>
      </c>
      <c r="S73" s="7">
        <v>5</v>
      </c>
      <c r="T73" s="7">
        <v>4</v>
      </c>
      <c r="V73" s="7" t="s">
        <v>27</v>
      </c>
      <c r="W73" s="7">
        <v>103</v>
      </c>
      <c r="X73" s="7">
        <v>2</v>
      </c>
      <c r="Y73" s="7">
        <v>2500</v>
      </c>
      <c r="Z73" s="9">
        <f>(X73*3.7)*(Y73/1000)</f>
        <v>18.5</v>
      </c>
      <c r="AA73" s="7">
        <v>1</v>
      </c>
      <c r="AC73" s="7" t="s">
        <v>8</v>
      </c>
      <c r="AD73" s="7" t="s">
        <v>9</v>
      </c>
      <c r="AE73" s="7" t="s">
        <v>11</v>
      </c>
      <c r="AF73" s="7" t="s">
        <v>10</v>
      </c>
      <c r="AG73" s="7" t="s">
        <v>10</v>
      </c>
      <c r="AH73" s="7" t="s">
        <v>15</v>
      </c>
      <c r="AI73" s="7" t="s">
        <v>13</v>
      </c>
    </row>
    <row r="74" spans="1:37" x14ac:dyDescent="0.25">
      <c r="A74" s="7">
        <v>77</v>
      </c>
      <c r="B74" s="5" t="s">
        <v>140</v>
      </c>
      <c r="C74" s="7" t="s">
        <v>140</v>
      </c>
      <c r="D74" s="7" t="s">
        <v>142</v>
      </c>
      <c r="E74" s="7">
        <v>8</v>
      </c>
      <c r="F74" s="13">
        <f>(PI()*(E74/2)^2)/144</f>
        <v>0.3490658503988659</v>
      </c>
      <c r="G74" s="9">
        <f>N74/(4*F74)</f>
        <v>587.28174000909382</v>
      </c>
      <c r="H74" s="7">
        <v>350</v>
      </c>
      <c r="I74" s="7">
        <v>195</v>
      </c>
      <c r="J74" s="7">
        <v>320</v>
      </c>
      <c r="L74" s="12">
        <f>IF(H74&gt;0 &amp; I74&gt;0 &amp; J74&gt;0,H74*I74*J74/1000,0)</f>
        <v>21840</v>
      </c>
      <c r="M74" s="11">
        <f>SQRT(H74^2 + J74^2)</f>
        <v>474.23622805517505</v>
      </c>
      <c r="N74" s="7">
        <v>820</v>
      </c>
      <c r="O74" s="7">
        <v>28</v>
      </c>
      <c r="P74" s="7">
        <v>2000</v>
      </c>
      <c r="R74" s="7">
        <v>8</v>
      </c>
      <c r="S74" s="7">
        <v>5</v>
      </c>
      <c r="T74" s="7">
        <v>2</v>
      </c>
      <c r="V74" s="7" t="s">
        <v>7</v>
      </c>
      <c r="W74" s="7">
        <v>335</v>
      </c>
      <c r="X74" s="7">
        <v>4</v>
      </c>
      <c r="Y74" s="7">
        <v>3000</v>
      </c>
      <c r="Z74" s="9">
        <f>(X74*3.7)*(Y74/1000)</f>
        <v>44.400000000000006</v>
      </c>
      <c r="AA74" s="7">
        <v>1</v>
      </c>
      <c r="AB74" s="7">
        <v>120</v>
      </c>
      <c r="AC74" s="7" t="s">
        <v>8</v>
      </c>
      <c r="AD74" s="7" t="s">
        <v>9</v>
      </c>
      <c r="AE74" s="7" t="s">
        <v>11</v>
      </c>
      <c r="AF74" s="7" t="s">
        <v>11</v>
      </c>
      <c r="AG74" s="7" t="s">
        <v>11</v>
      </c>
      <c r="AH74" s="7" t="s">
        <v>15</v>
      </c>
      <c r="AI74" s="7" t="s">
        <v>13</v>
      </c>
    </row>
    <row r="75" spans="1:37" x14ac:dyDescent="0.25">
      <c r="A75" s="7">
        <v>78</v>
      </c>
      <c r="B75" s="5" t="s">
        <v>140</v>
      </c>
      <c r="C75" s="7" t="s">
        <v>140</v>
      </c>
      <c r="D75" s="7" t="s">
        <v>143</v>
      </c>
      <c r="E75" s="7">
        <v>8</v>
      </c>
      <c r="F75" s="13">
        <f>(PI()*(E75/2)^2)/144</f>
        <v>0.3490658503988659</v>
      </c>
      <c r="G75" s="9">
        <f>N75/(4*F75)</f>
        <v>544.30990537428204</v>
      </c>
      <c r="H75" s="7">
        <v>350</v>
      </c>
      <c r="I75" s="7">
        <v>195</v>
      </c>
      <c r="J75" s="7">
        <v>320</v>
      </c>
      <c r="L75" s="12">
        <f>IF(H75&gt;0 &amp; I75&gt;0 &amp; J75&gt;0,H75*I75*J75/1000,0)</f>
        <v>21840</v>
      </c>
      <c r="M75" s="11">
        <f>SQRT(H75^2 + J75^2)</f>
        <v>474.23622805517505</v>
      </c>
      <c r="N75" s="7">
        <v>760</v>
      </c>
      <c r="O75" s="7">
        <v>31</v>
      </c>
      <c r="P75" s="7">
        <v>800</v>
      </c>
      <c r="R75" s="7">
        <v>8</v>
      </c>
      <c r="S75" s="7">
        <v>5</v>
      </c>
      <c r="T75" s="7">
        <v>2</v>
      </c>
      <c r="V75" s="7" t="s">
        <v>7</v>
      </c>
      <c r="W75" s="7">
        <v>265</v>
      </c>
      <c r="X75" s="7">
        <v>4</v>
      </c>
      <c r="Y75" s="7">
        <v>3000</v>
      </c>
      <c r="Z75" s="9">
        <f>(X75*3.7)*(Y75/1000)</f>
        <v>44.400000000000006</v>
      </c>
      <c r="AA75" s="7">
        <v>1</v>
      </c>
      <c r="AB75" s="7">
        <v>60</v>
      </c>
      <c r="AC75" s="7" t="s">
        <v>8</v>
      </c>
      <c r="AD75" s="7" t="s">
        <v>9</v>
      </c>
      <c r="AE75" s="7" t="s">
        <v>11</v>
      </c>
      <c r="AF75" s="7" t="s">
        <v>11</v>
      </c>
      <c r="AG75" s="7" t="s">
        <v>11</v>
      </c>
      <c r="AH75" s="7" t="s">
        <v>15</v>
      </c>
      <c r="AI75" s="7" t="s">
        <v>144</v>
      </c>
    </row>
    <row r="76" spans="1:37" x14ac:dyDescent="0.25">
      <c r="A76" s="7">
        <v>79</v>
      </c>
      <c r="B76" s="5" t="s">
        <v>4</v>
      </c>
      <c r="C76" s="7" t="s">
        <v>5</v>
      </c>
      <c r="D76" s="7" t="s">
        <v>145</v>
      </c>
      <c r="E76" s="7">
        <v>9.4</v>
      </c>
      <c r="F76" s="13">
        <f>(PI()*(E76/2)^2)/144</f>
        <v>0.48192903970693429</v>
      </c>
      <c r="G76" s="9">
        <f>N76/(4*F76)</f>
        <v>496.96112968341203</v>
      </c>
      <c r="H76" s="7">
        <v>347.5</v>
      </c>
      <c r="I76" s="7">
        <v>107.7</v>
      </c>
      <c r="J76" s="7">
        <v>290.8</v>
      </c>
      <c r="K76" s="7">
        <v>958</v>
      </c>
      <c r="L76" s="12">
        <f>IF(H76&gt;0 &amp; I76&gt;0 &amp; J76&gt;0,H76*I76*J76/1000,0)</f>
        <v>10883.408099999999</v>
      </c>
      <c r="M76" s="11">
        <f>SQRT(H76^2 + J76^2)</f>
        <v>453.12348206642304</v>
      </c>
      <c r="N76" s="7">
        <v>958</v>
      </c>
      <c r="O76" s="7">
        <v>43</v>
      </c>
      <c r="P76" s="7">
        <v>15000</v>
      </c>
      <c r="Q76" s="7">
        <v>6000</v>
      </c>
      <c r="R76" s="7">
        <v>21</v>
      </c>
      <c r="S76" s="7">
        <v>8</v>
      </c>
      <c r="T76" s="7">
        <v>6</v>
      </c>
      <c r="U76" s="7">
        <v>12</v>
      </c>
      <c r="V76" s="7" t="s">
        <v>27</v>
      </c>
      <c r="W76" s="7">
        <v>335.5</v>
      </c>
      <c r="X76" s="7">
        <v>4</v>
      </c>
      <c r="Y76" s="7">
        <v>5000</v>
      </c>
      <c r="Z76" s="9">
        <f>(X76*3.7)*(Y76/1000)</f>
        <v>74</v>
      </c>
      <c r="AA76" s="7">
        <v>1</v>
      </c>
      <c r="AB76" s="7">
        <v>96</v>
      </c>
      <c r="AC76" s="7" t="s">
        <v>8</v>
      </c>
      <c r="AD76" s="7" t="s">
        <v>28</v>
      </c>
      <c r="AE76" s="7" t="s">
        <v>10</v>
      </c>
      <c r="AF76" s="7" t="s">
        <v>10</v>
      </c>
      <c r="AG76" s="7" t="s">
        <v>10</v>
      </c>
      <c r="AH76" s="7" t="s">
        <v>15</v>
      </c>
      <c r="AI76" s="7" t="s">
        <v>147</v>
      </c>
    </row>
    <row r="77" spans="1:37" x14ac:dyDescent="0.2">
      <c r="A77" s="7">
        <v>80</v>
      </c>
      <c r="B77" s="5" t="s">
        <v>4</v>
      </c>
      <c r="C77" s="7" t="s">
        <v>5</v>
      </c>
      <c r="D77" s="7" t="s">
        <v>148</v>
      </c>
      <c r="E77" s="7">
        <v>8.3000000000000007</v>
      </c>
      <c r="F77" s="13">
        <f>(PI()*(E77/2)^2)/144</f>
        <v>0.37573666303090436</v>
      </c>
      <c r="G77" s="9">
        <f>N77/(4*F77)</f>
        <v>494.36219106657165</v>
      </c>
      <c r="H77" s="7">
        <v>198</v>
      </c>
      <c r="I77" s="7">
        <v>83</v>
      </c>
      <c r="J77" s="7">
        <v>83</v>
      </c>
      <c r="L77" s="12">
        <f>IF(H77&gt;0 &amp; I77&gt;0 &amp; J77&gt;0,H77*I77*J77/1000,0)</f>
        <v>1364.0219999999999</v>
      </c>
      <c r="M77" s="11">
        <v>335</v>
      </c>
      <c r="N77" s="7">
        <v>743</v>
      </c>
      <c r="O77" s="7">
        <v>27</v>
      </c>
      <c r="P77" s="7">
        <v>7000</v>
      </c>
      <c r="Q77" s="7">
        <v>5000</v>
      </c>
      <c r="R77" s="7">
        <v>18</v>
      </c>
      <c r="S77" s="7">
        <v>5</v>
      </c>
      <c r="T77" s="7">
        <v>3</v>
      </c>
      <c r="U77" s="7">
        <v>10</v>
      </c>
      <c r="V77" s="7" t="s">
        <v>7</v>
      </c>
      <c r="W77" s="7">
        <v>240</v>
      </c>
      <c r="X77" s="7">
        <v>3</v>
      </c>
      <c r="Y77" s="7">
        <v>3830</v>
      </c>
      <c r="Z77" s="9">
        <f>(X77*3.7)*(Y77/1000)</f>
        <v>42.513000000000005</v>
      </c>
      <c r="AA77" s="7">
        <v>1</v>
      </c>
      <c r="AB77" s="7">
        <v>55</v>
      </c>
      <c r="AC77" s="7" t="s">
        <v>8</v>
      </c>
      <c r="AD77" s="7" t="s">
        <v>9</v>
      </c>
      <c r="AE77" s="7" t="s">
        <v>10</v>
      </c>
      <c r="AF77" s="7" t="s">
        <v>11</v>
      </c>
      <c r="AG77" s="7" t="s">
        <v>10</v>
      </c>
      <c r="AH77" s="7" t="s">
        <v>15</v>
      </c>
      <c r="AI77" s="7" t="s">
        <v>13</v>
      </c>
      <c r="AJ77" s="16" t="s">
        <v>163</v>
      </c>
    </row>
    <row r="78" spans="1:37" x14ac:dyDescent="0.25">
      <c r="A78" s="7">
        <v>81</v>
      </c>
      <c r="B78" s="5" t="s">
        <v>4</v>
      </c>
      <c r="C78" s="7" t="s">
        <v>5</v>
      </c>
      <c r="D78" s="7" t="s">
        <v>150</v>
      </c>
      <c r="E78" s="7">
        <v>5.3</v>
      </c>
      <c r="F78" s="13">
        <f>(PI()*(E78/2)^2)/144</f>
        <v>0.15320718340162723</v>
      </c>
      <c r="G78" s="9">
        <f>N78/(4*F78)</f>
        <v>701.66422757210114</v>
      </c>
      <c r="H78" s="7">
        <v>168</v>
      </c>
      <c r="I78" s="7">
        <v>64</v>
      </c>
      <c r="J78" s="7">
        <v>184</v>
      </c>
      <c r="L78" s="12">
        <f>IF(H78&gt;0 &amp; I78&gt;0 &amp; J78&gt;0,H78*I78*J78/1000,0)</f>
        <v>1978.3679999999999</v>
      </c>
      <c r="M78" s="11">
        <v>335</v>
      </c>
      <c r="N78" s="7">
        <v>430</v>
      </c>
      <c r="O78" s="7">
        <v>21</v>
      </c>
      <c r="P78" s="7">
        <v>4000</v>
      </c>
      <c r="Q78" s="7">
        <v>5000</v>
      </c>
      <c r="R78" s="7">
        <f>68.4/3.6</f>
        <v>19</v>
      </c>
      <c r="S78" s="7">
        <v>4</v>
      </c>
      <c r="T78" s="7">
        <v>3</v>
      </c>
      <c r="U78" s="7">
        <v>10</v>
      </c>
      <c r="V78" s="7" t="s">
        <v>7</v>
      </c>
      <c r="W78" s="7">
        <v>140</v>
      </c>
      <c r="X78" s="7">
        <v>3</v>
      </c>
      <c r="Y78" s="7">
        <v>2375</v>
      </c>
      <c r="Z78" s="9">
        <f>(X78*3.7)*(Y78/1000)</f>
        <v>26.362500000000004</v>
      </c>
      <c r="AA78" s="7">
        <v>1</v>
      </c>
      <c r="AB78" s="7">
        <v>30</v>
      </c>
      <c r="AC78" s="7" t="s">
        <v>8</v>
      </c>
      <c r="AD78" s="7" t="s">
        <v>9</v>
      </c>
      <c r="AE78" s="7" t="s">
        <v>10</v>
      </c>
      <c r="AF78" s="7" t="s">
        <v>11</v>
      </c>
      <c r="AG78" s="7" t="s">
        <v>10</v>
      </c>
      <c r="AH78" s="7" t="s">
        <v>15</v>
      </c>
      <c r="AI78" s="7" t="s">
        <v>13</v>
      </c>
    </row>
    <row r="79" spans="1:37" x14ac:dyDescent="0.25">
      <c r="A79" s="7">
        <v>82</v>
      </c>
      <c r="B79" s="5" t="s">
        <v>4</v>
      </c>
      <c r="C79" s="7" t="s">
        <v>5</v>
      </c>
      <c r="D79" s="7" t="s">
        <v>151</v>
      </c>
      <c r="E79" s="7">
        <v>4.7</v>
      </c>
      <c r="F79" s="13">
        <f>(PI()*(E79/2)^2)/144</f>
        <v>0.12048225992673357</v>
      </c>
      <c r="G79" s="9">
        <f>N79/(4*F79)</f>
        <v>510.44859249319148</v>
      </c>
      <c r="H79" s="7">
        <v>245</v>
      </c>
      <c r="I79" s="7">
        <v>56</v>
      </c>
      <c r="J79" s="7">
        <v>289</v>
      </c>
      <c r="L79" s="12">
        <f>IF(H79&gt;0 &amp; I79&gt;0 &amp; J79&gt;0,H79*I79*J79/1000,0)</f>
        <v>3965.08</v>
      </c>
      <c r="M79" s="11">
        <f>SQRT(H79^2 + J79^2)</f>
        <v>378.87464945546304</v>
      </c>
      <c r="N79" s="7">
        <v>246</v>
      </c>
      <c r="O79" s="7">
        <v>31</v>
      </c>
      <c r="P79" s="7">
        <v>10000</v>
      </c>
      <c r="Q79" s="7">
        <v>4000</v>
      </c>
      <c r="R79" s="7">
        <v>16</v>
      </c>
      <c r="S79" s="7">
        <v>5</v>
      </c>
      <c r="T79" s="7">
        <v>3.5</v>
      </c>
      <c r="U79" s="7">
        <v>10.7</v>
      </c>
      <c r="V79" s="7" t="s">
        <v>27</v>
      </c>
      <c r="W79" s="7">
        <v>82.5</v>
      </c>
      <c r="X79" s="7">
        <v>2</v>
      </c>
      <c r="Y79" s="7">
        <v>2250</v>
      </c>
      <c r="Z79" s="9">
        <f>(X79*3.7)*(Y79/1000)</f>
        <v>16.650000000000002</v>
      </c>
      <c r="AA79" s="7">
        <v>1</v>
      </c>
      <c r="AB79" s="7">
        <v>100</v>
      </c>
      <c r="AC79" s="7" t="s">
        <v>8</v>
      </c>
      <c r="AD79" s="7" t="s">
        <v>19</v>
      </c>
      <c r="AE79" s="7" t="s">
        <v>11</v>
      </c>
      <c r="AF79" s="7" t="s">
        <v>11</v>
      </c>
      <c r="AG79" s="7" t="s">
        <v>10</v>
      </c>
      <c r="AH79" s="7" t="s">
        <v>15</v>
      </c>
      <c r="AI79" s="7" t="s">
        <v>144</v>
      </c>
    </row>
    <row r="80" spans="1:37" x14ac:dyDescent="0.2">
      <c r="A80" s="7">
        <v>83</v>
      </c>
      <c r="B80" s="5" t="s">
        <v>152</v>
      </c>
      <c r="C80" s="7" t="s">
        <v>152</v>
      </c>
      <c r="D80" s="7" t="s">
        <v>153</v>
      </c>
      <c r="E80" s="7">
        <v>8</v>
      </c>
      <c r="F80" s="13">
        <f>(PI()*(E80/2)^2)/144</f>
        <v>0.3490658503988659</v>
      </c>
      <c r="G80" s="9">
        <f>N80/(4*F80)</f>
        <v>499.18947900772974</v>
      </c>
      <c r="H80" s="7">
        <v>353</v>
      </c>
      <c r="I80" s="7">
        <v>63</v>
      </c>
      <c r="J80" s="7">
        <v>317</v>
      </c>
      <c r="K80" s="7">
        <f>J80/1000</f>
        <v>0.317</v>
      </c>
      <c r="L80" s="12">
        <f>IF(H80&gt;0 &amp; I80&gt;0 &amp; J80&gt;0,H80*I80*J80/1000,0)</f>
        <v>7049.7629999999999</v>
      </c>
      <c r="M80" s="11">
        <f>SQRT(H80^2 + J80^2)</f>
        <v>474.44493884959928</v>
      </c>
      <c r="N80" s="7">
        <v>697</v>
      </c>
      <c r="O80" s="7">
        <v>50</v>
      </c>
      <c r="P80" s="7">
        <v>8000</v>
      </c>
      <c r="R80" s="7">
        <v>20</v>
      </c>
      <c r="U80" s="7">
        <v>18</v>
      </c>
      <c r="V80" s="7" t="s">
        <v>7</v>
      </c>
      <c r="X80" s="7">
        <v>4</v>
      </c>
      <c r="Y80" s="7">
        <v>4900</v>
      </c>
      <c r="Z80" s="9">
        <f>(X80*3.7)*(Y80/1000)</f>
        <v>72.52000000000001</v>
      </c>
      <c r="AA80" s="7">
        <v>1</v>
      </c>
      <c r="AC80" s="7" t="s">
        <v>8</v>
      </c>
      <c r="AD80" s="7" t="s">
        <v>24</v>
      </c>
      <c r="AE80" s="7" t="s">
        <v>10</v>
      </c>
      <c r="AF80" s="7" t="s">
        <v>10</v>
      </c>
      <c r="AG80" s="7" t="s">
        <v>10</v>
      </c>
      <c r="AH80" s="7" t="s">
        <v>12</v>
      </c>
      <c r="AI80" s="7" t="s">
        <v>13</v>
      </c>
      <c r="AJ80" s="16" t="s">
        <v>154</v>
      </c>
    </row>
    <row r="81" spans="1:36" x14ac:dyDescent="0.2">
      <c r="A81" s="7">
        <v>84</v>
      </c>
      <c r="B81" s="5" t="s">
        <v>130</v>
      </c>
      <c r="C81" s="7" t="s">
        <v>130</v>
      </c>
      <c r="D81" s="7" t="s">
        <v>155</v>
      </c>
      <c r="E81" s="7">
        <v>6</v>
      </c>
      <c r="F81" s="13">
        <f>(PI()*(E81/2)^2)/144</f>
        <v>0.19634954084936207</v>
      </c>
      <c r="G81" s="9">
        <f>N81/(4*F81)</f>
        <v>662.08456326228463</v>
      </c>
      <c r="H81" s="7">
        <f>17.52*25.4</f>
        <v>445.00799999999998</v>
      </c>
      <c r="I81" s="7">
        <f>3.15*25.4</f>
        <v>80.009999999999991</v>
      </c>
      <c r="J81" s="7">
        <f>15.94*25.4</f>
        <v>404.87599999999998</v>
      </c>
      <c r="L81" s="12">
        <f>IF(H81&gt;0 &amp; I81&gt;0 &amp; J81&gt;0,H81*I81*J81/1000,0)</f>
        <v>14415.646451230077</v>
      </c>
      <c r="M81" s="11">
        <f>SQRT(H81^2 + J81^2)</f>
        <v>601.62836987628828</v>
      </c>
      <c r="N81" s="7">
        <v>520</v>
      </c>
      <c r="O81" s="7">
        <v>30</v>
      </c>
      <c r="P81" s="7">
        <v>1200</v>
      </c>
      <c r="Q81" s="7">
        <v>3100</v>
      </c>
      <c r="R81" s="7">
        <v>8.5</v>
      </c>
      <c r="S81" s="7">
        <v>2</v>
      </c>
      <c r="T81" s="7">
        <v>1.5</v>
      </c>
      <c r="U81" s="7">
        <v>13.8</v>
      </c>
      <c r="V81" s="7" t="s">
        <v>27</v>
      </c>
      <c r="W81" s="7">
        <v>193</v>
      </c>
      <c r="X81" s="7">
        <v>3</v>
      </c>
      <c r="Y81" s="7">
        <v>2500</v>
      </c>
      <c r="Z81" s="9">
        <f>(X81*3.7)*(Y81/1000)</f>
        <v>27.750000000000004</v>
      </c>
      <c r="AA81" s="7">
        <v>1</v>
      </c>
      <c r="AB81" s="7">
        <v>270</v>
      </c>
      <c r="AC81" s="7" t="s">
        <v>8</v>
      </c>
      <c r="AD81" s="7" t="s">
        <v>9</v>
      </c>
      <c r="AE81" s="7" t="s">
        <v>11</v>
      </c>
      <c r="AF81" s="7" t="s">
        <v>11</v>
      </c>
      <c r="AG81" s="7" t="s">
        <v>10</v>
      </c>
      <c r="AH81" s="7" t="s">
        <v>15</v>
      </c>
      <c r="AI81" s="7" t="s">
        <v>45</v>
      </c>
      <c r="AJ81" s="16" t="s">
        <v>198</v>
      </c>
    </row>
    <row r="82" spans="1:36" x14ac:dyDescent="0.25">
      <c r="A82" s="7">
        <v>85</v>
      </c>
      <c r="B82" s="5" t="s">
        <v>157</v>
      </c>
      <c r="C82" s="7" t="s">
        <v>157</v>
      </c>
      <c r="D82" s="7" t="s">
        <v>158</v>
      </c>
      <c r="E82" s="7">
        <v>5.7</v>
      </c>
      <c r="F82" s="13">
        <f>(PI()*(E82/2)^2)/144</f>
        <v>0.17720546061654929</v>
      </c>
      <c r="G82" s="9">
        <f>N82/(4*F82)</f>
        <v>351.28714309036616</v>
      </c>
      <c r="H82" s="7">
        <v>167.4</v>
      </c>
      <c r="I82" s="7">
        <v>57</v>
      </c>
      <c r="J82" s="7">
        <v>217.8</v>
      </c>
      <c r="L82" s="12">
        <f>IF(H82&gt;0 &amp; I82&gt;0 &amp; J82&gt;0,H82*I82*J82/1000,0)</f>
        <v>2078.2040400000001</v>
      </c>
      <c r="M82" s="11">
        <f>SQRT(H82^2 + J82^2)</f>
        <v>274.69910811649902</v>
      </c>
      <c r="N82" s="7">
        <v>249</v>
      </c>
      <c r="O82" s="7">
        <v>30</v>
      </c>
      <c r="P82" s="7">
        <v>5000</v>
      </c>
      <c r="Q82" s="7">
        <v>4500</v>
      </c>
      <c r="R82" s="7">
        <v>12</v>
      </c>
      <c r="S82" s="7">
        <v>8</v>
      </c>
      <c r="T82" s="7">
        <v>5</v>
      </c>
      <c r="U82" s="7">
        <v>18</v>
      </c>
      <c r="V82" s="7" t="s">
        <v>7</v>
      </c>
      <c r="X82" s="7">
        <v>2</v>
      </c>
      <c r="Y82" s="7">
        <v>2250</v>
      </c>
      <c r="Z82" s="9">
        <f>(X82*3.7)*(Y82/1000)</f>
        <v>16.650000000000002</v>
      </c>
      <c r="AA82" s="7">
        <v>1</v>
      </c>
      <c r="AC82" s="7" t="s">
        <v>8</v>
      </c>
      <c r="AD82" s="7" t="s">
        <v>159</v>
      </c>
      <c r="AE82" s="7" t="s">
        <v>11</v>
      </c>
      <c r="AF82" s="7" t="s">
        <v>11</v>
      </c>
      <c r="AG82" s="7" t="s">
        <v>10</v>
      </c>
      <c r="AH82" s="7" t="s">
        <v>15</v>
      </c>
      <c r="AI82" s="7" t="s">
        <v>13</v>
      </c>
    </row>
    <row r="83" spans="1:36" x14ac:dyDescent="0.25">
      <c r="A83" s="7">
        <v>86</v>
      </c>
      <c r="B83" s="5" t="s">
        <v>157</v>
      </c>
      <c r="C83" s="7" t="s">
        <v>157</v>
      </c>
      <c r="D83" s="7" t="s">
        <v>160</v>
      </c>
      <c r="E83" s="7">
        <v>11</v>
      </c>
      <c r="F83" s="13">
        <f>(PI()*(E83/2)^2)/144</f>
        <v>0.65995262341035588</v>
      </c>
      <c r="G83" s="9">
        <f>N83/(4*F83)</f>
        <v>757.63014232174964</v>
      </c>
      <c r="H83" s="7">
        <v>367</v>
      </c>
      <c r="I83" s="7">
        <v>228</v>
      </c>
      <c r="J83" s="7">
        <v>367</v>
      </c>
      <c r="L83" s="12">
        <f>IF(H83&gt;0 &amp; I83&gt;0 &amp; J83&gt;0,H83*I83*J83/1000,0)</f>
        <v>30709.092000000001</v>
      </c>
      <c r="M83" s="11">
        <f>SQRT(H83^2 + J83^2)</f>
        <v>519.01637739092587</v>
      </c>
      <c r="N83" s="7">
        <v>2000</v>
      </c>
      <c r="O83" s="7">
        <v>60</v>
      </c>
      <c r="P83" s="7">
        <v>12000</v>
      </c>
      <c r="Q83" s="7">
        <v>4500</v>
      </c>
      <c r="R83" s="7">
        <v>20</v>
      </c>
      <c r="S83" s="7">
        <v>8</v>
      </c>
      <c r="T83" s="7">
        <v>8</v>
      </c>
      <c r="U83" s="7">
        <v>17</v>
      </c>
      <c r="V83" s="7" t="s">
        <v>7</v>
      </c>
      <c r="X83" s="7">
        <v>6</v>
      </c>
      <c r="Y83" s="7">
        <v>7000</v>
      </c>
      <c r="Z83" s="9">
        <f>(X83*3.7)*(Y83/1000)</f>
        <v>155.40000000000003</v>
      </c>
      <c r="AA83" s="7">
        <v>1</v>
      </c>
      <c r="AC83" s="7" t="s">
        <v>8</v>
      </c>
      <c r="AD83" s="7" t="s">
        <v>82</v>
      </c>
      <c r="AE83" s="7" t="s">
        <v>10</v>
      </c>
      <c r="AF83" s="7" t="s">
        <v>11</v>
      </c>
      <c r="AG83" s="7" t="s">
        <v>11</v>
      </c>
      <c r="AH83" s="7" t="s">
        <v>15</v>
      </c>
      <c r="AI83" s="7" t="s">
        <v>76</v>
      </c>
    </row>
    <row r="84" spans="1:36" x14ac:dyDescent="0.25">
      <c r="A84" s="7">
        <v>87</v>
      </c>
      <c r="B84" s="5" t="s">
        <v>161</v>
      </c>
      <c r="C84" s="7" t="s">
        <v>161</v>
      </c>
      <c r="D84" s="7" t="s">
        <v>162</v>
      </c>
      <c r="E84" s="7">
        <v>18.5</v>
      </c>
      <c r="F84" s="13">
        <f>(PI()*(E84/2)^2)/144</f>
        <v>1.8666841765470603</v>
      </c>
      <c r="G84" s="9">
        <f>N84/(4*F84)</f>
        <v>115.44534566025294</v>
      </c>
      <c r="H84" s="7">
        <f>19*25.4</f>
        <v>482.59999999999997</v>
      </c>
      <c r="I84" s="7">
        <f>5*25.4</f>
        <v>127</v>
      </c>
      <c r="J84" s="7">
        <f>25*25.4</f>
        <v>635</v>
      </c>
      <c r="L84" s="12">
        <f>IF(H84&gt;0 &amp; I84&gt;0 &amp; J84&gt;0,H84*I84*J84/1000,0)</f>
        <v>38919.277000000002</v>
      </c>
      <c r="M84" s="11">
        <f>SQRT(H84^2 + J84^2)</f>
        <v>797.57617817986511</v>
      </c>
      <c r="N84" s="7">
        <v>862</v>
      </c>
      <c r="O84" s="7">
        <v>30</v>
      </c>
      <c r="P84" s="7">
        <v>6000</v>
      </c>
      <c r="Q84" s="7">
        <f>2500*1.6</f>
        <v>4000</v>
      </c>
      <c r="R84" s="7">
        <v>18</v>
      </c>
      <c r="S84" s="7">
        <v>5</v>
      </c>
      <c r="T84" s="7">
        <v>3</v>
      </c>
      <c r="U84" s="7">
        <v>10.7</v>
      </c>
      <c r="V84" s="7" t="s">
        <v>7</v>
      </c>
      <c r="W84" s="7">
        <v>226</v>
      </c>
      <c r="X84" s="7">
        <v>3</v>
      </c>
      <c r="Y84" s="7">
        <v>3800</v>
      </c>
      <c r="Z84" s="9">
        <f>(X84*3.7)*(Y84/1000)</f>
        <v>42.180000000000007</v>
      </c>
      <c r="AA84" s="7">
        <v>1</v>
      </c>
      <c r="AB84" s="7">
        <v>50</v>
      </c>
      <c r="AC84" s="7" t="s">
        <v>8</v>
      </c>
      <c r="AD84" s="7" t="s">
        <v>9</v>
      </c>
      <c r="AE84" s="7" t="s">
        <v>10</v>
      </c>
      <c r="AF84" s="7" t="s">
        <v>11</v>
      </c>
      <c r="AG84" s="7" t="s">
        <v>10</v>
      </c>
      <c r="AH84" s="7" t="s">
        <v>15</v>
      </c>
      <c r="AI84" s="7" t="s">
        <v>13</v>
      </c>
    </row>
  </sheetData>
  <autoFilter ref="A1:AM84" xr:uid="{00000000-0001-0000-0000-000000000000}">
    <filterColumn colId="35" showButton="0"/>
    <filterColumn colId="36" showButton="0"/>
    <filterColumn colId="37" showButton="0"/>
    <sortState xmlns:xlrd2="http://schemas.microsoft.com/office/spreadsheetml/2017/richdata2" ref="A2:AM84">
      <sortCondition ref="A1:A84"/>
    </sortState>
  </autoFilter>
  <mergeCells count="1">
    <mergeCell ref="AJ1:AM1"/>
  </mergeCells>
  <hyperlinks>
    <hyperlink ref="B2" r:id="rId1" xr:uid="{EFF83240-CD29-49E8-B64B-7D4F43EE6372}"/>
    <hyperlink ref="B3" r:id="rId2" location="specs" xr:uid="{FF35B54A-C657-4B26-880C-78732A64CE24}"/>
    <hyperlink ref="B4" r:id="rId3" xr:uid="{E793DC51-2015-4F01-8809-ECCFEAC716E4}"/>
    <hyperlink ref="B5" r:id="rId4" xr:uid="{181D953D-ABD3-44B8-9E80-F836B455693C}"/>
    <hyperlink ref="B6" r:id="rId5" xr:uid="{E975E601-DD82-4A4F-B4EA-19B83BF30F27}"/>
    <hyperlink ref="B7" r:id="rId6" xr:uid="{31E69FFF-442B-47A6-9143-3AC91F64A197}"/>
    <hyperlink ref="B8" r:id="rId7" display="Skydio + " xr:uid="{B19916F8-79AE-421F-A4CB-D3B29F41E63D}"/>
    <hyperlink ref="B9" r:id="rId8" xr:uid="{5D5E9A66-76CA-470B-8441-84A06943C30C}"/>
    <hyperlink ref="AJ9" r:id="rId9" xr:uid="{771E84DB-C049-4FE5-98F7-11F185843C40}"/>
    <hyperlink ref="B10" r:id="rId10" xr:uid="{B749BA8C-AD9A-4DEC-96A7-9187DC3868CB}"/>
    <hyperlink ref="AJ10" r:id="rId11" xr:uid="{58BDEFF3-C41A-48BF-B360-5633617E3E09}"/>
    <hyperlink ref="B11" r:id="rId12" xr:uid="{AB94F75D-2D68-45FD-8CDC-98F761BBE7D7}"/>
    <hyperlink ref="AJ11" r:id="rId13" location=":~:text=The%20Input%20Voltage%20is%208.4,minutes%20depending%20on%20the%20temperature." display="https://www.d1store.com.au/products/Mavic-Air-2-Battery-Charging-Hub#:~:text=The%20Input%20Voltage%20is%208.4,minutes%20depending%20on%20the%20temperature." xr:uid="{D83923F7-ED71-4FCD-8CB2-2582265FA6F1}"/>
    <hyperlink ref="B12" r:id="rId14" xr:uid="{A9BD7A78-9C13-42D5-9D4F-86C037C614B8}"/>
    <hyperlink ref="AJ12" r:id="rId15" display="https://dronepedia.xyz/cheerson-cx-20-review/" xr:uid="{6BAE1CC2-571A-4789-9D86-C159686E8B23}"/>
    <hyperlink ref="B13" r:id="rId16" xr:uid="{2AEA5834-A2AD-4AA7-B9AA-C2D05CF4D2E5}"/>
    <hyperlink ref="AJ13" r:id="rId17" display="https://drone-market.net/" xr:uid="{5DB9656D-FCEB-4C09-84CD-4ECC7BF0F2CE}"/>
    <hyperlink ref="B14" r:id="rId18" xr:uid="{99F25B1E-7B12-463A-AA4E-B1FA66EF332B}"/>
    <hyperlink ref="AJ14" r:id="rId19" display="https://www.ebay.com/itm/364060914773" xr:uid="{CF7A2808-0304-4096-B6FD-6B1D114C0680}"/>
    <hyperlink ref="B15" r:id="rId20" xr:uid="{1AF40199-42E8-4F85-9F35-939C9CA928FF}"/>
    <hyperlink ref="B16" r:id="rId21" xr:uid="{6F005CD8-28DB-4452-9A31-C9898E155A57}"/>
    <hyperlink ref="B17" r:id="rId22" xr:uid="{891B249A-27E0-497A-8FA7-E44630B0E936}"/>
    <hyperlink ref="B18" r:id="rId23" xr:uid="{A2B3146B-D1A9-4760-B096-AF4691069010}"/>
    <hyperlink ref="B19" r:id="rId24" xr:uid="{4873D030-FFE8-43D2-9E75-1124649E15E3}"/>
    <hyperlink ref="B20" r:id="rId25" xr:uid="{B6F6EF23-7F04-4074-A90D-88C4F876EE3A}"/>
    <hyperlink ref="B21" r:id="rId26" xr:uid="{A6B2DCD6-42D6-4097-82AD-E5AE4FE91DE7}"/>
    <hyperlink ref="B22" r:id="rId27" xr:uid="{F8582689-0DB7-4D46-A492-36F81659F73B}"/>
    <hyperlink ref="AJ22" r:id="rId28" xr:uid="{9389BBB5-9263-4174-AFD1-629537DE1A1E}"/>
    <hyperlink ref="B23" r:id="rId29" xr:uid="{2092110C-FE79-418F-9CC0-42821965289D}"/>
    <hyperlink ref="AJ23" r:id="rId30" xr:uid="{8BB560B9-8553-49DA-AAEF-6832F0C7CAC4}"/>
    <hyperlink ref="B24" r:id="rId31" xr:uid="{6F575748-33A8-4EBE-A8A6-F08E5E0DF32E}"/>
    <hyperlink ref="B25" r:id="rId32" xr:uid="{A93B0D10-E8C3-430C-A011-4C08841504D8}"/>
    <hyperlink ref="B26" r:id="rId33" xr:uid="{7E815B7F-1BF9-4663-BB31-0443D00332D0}"/>
    <hyperlink ref="B27" r:id="rId34" display="Husban" xr:uid="{EBFDB759-2B70-4758-B53F-70B98EF3841C}"/>
    <hyperlink ref="B28" r:id="rId35" display="Husban" xr:uid="{89AC571C-E1F1-4035-B141-601C59421A15}"/>
    <hyperlink ref="B29" r:id="rId36" display="Husban" xr:uid="{2BCCD697-BDF7-4038-948E-8804532B2670}"/>
    <hyperlink ref="B30" r:id="rId37" display="Husban" xr:uid="{6FE37ED2-A29B-4530-93AC-F8946486BEBA}"/>
    <hyperlink ref="B31" r:id="rId38" xr:uid="{35CFAB3A-BFE3-4A3C-86D8-E4D5C7437C78}"/>
    <hyperlink ref="B32" r:id="rId39" xr:uid="{1EE4F7E8-1E9B-403E-AB1B-BCE3EC538CE9}"/>
    <hyperlink ref="B33" r:id="rId40" xr:uid="{246BF551-42CA-4EC7-B1DF-B8754037227A}"/>
    <hyperlink ref="B34" r:id="rId41" xr:uid="{5AC9593B-8498-40E4-A492-48747B7D8DE6}"/>
    <hyperlink ref="B35" r:id="rId42" xr:uid="{035CAADD-00DA-4E6C-B58A-9505CB0CDA8D}"/>
    <hyperlink ref="B36" r:id="rId43" xr:uid="{33F45695-169B-469B-B121-15DD9B8D3873}"/>
    <hyperlink ref="B37" r:id="rId44" xr:uid="{D63FE57A-F4B0-452B-9F62-05FDF3ABE4BD}"/>
    <hyperlink ref="AJ37" r:id="rId45" display="https://www.adorama.com/skyx2bat100.html" xr:uid="{54238E40-5D57-494A-A6D8-B4769A3E5B47}"/>
    <hyperlink ref="B38" r:id="rId46" xr:uid="{7FBF2B86-1CF6-428F-9F86-9B6CE4BF9C92}"/>
    <hyperlink ref="AJ38" r:id="rId47" display="https://irp.cdn-website.com/c042aad1/files/uploaded/XAG M500 spec.pdf" xr:uid="{4AD43670-F4BF-4F40-BCFE-386958D40DFD}"/>
    <hyperlink ref="B39" r:id="rId48" xr:uid="{A0C05CE2-58AA-40A7-A94F-3261FADFD61A}"/>
    <hyperlink ref="B40" r:id="rId49" xr:uid="{D10B122C-1C95-45AE-9A6C-BBB9052D0A69}"/>
    <hyperlink ref="B41" r:id="rId50" xr:uid="{BF7FA0AC-9160-496B-9520-C5523F15CD43}"/>
    <hyperlink ref="B42" r:id="rId51" xr:uid="{6754F7AE-3D91-4D5E-9251-49CD5825F999}"/>
    <hyperlink ref="B43" r:id="rId52" xr:uid="{37FC5A37-A539-4DDF-B071-B8FCD8E30823}"/>
    <hyperlink ref="B44" r:id="rId53" xr:uid="{A900D493-2800-433E-BAE1-B32F77986908}"/>
    <hyperlink ref="B45" r:id="rId54" xr:uid="{A0793CCE-63AE-41BF-B6D7-92703544ACE6}"/>
    <hyperlink ref="B46" r:id="rId55" xr:uid="{D3C1439A-418D-4D3F-87A7-5E34DE410C2E}"/>
    <hyperlink ref="B47" r:id="rId56" xr:uid="{875A7915-5B77-45DD-9F4B-AA2FDF0E4E39}"/>
    <hyperlink ref="B48" r:id="rId57" xr:uid="{0376C299-358F-4CB1-8E88-8C3B213ED1DB}"/>
    <hyperlink ref="B49" r:id="rId58" xr:uid="{953FB7DD-B425-402F-9EED-1A7BC67F252D}"/>
    <hyperlink ref="B50" r:id="rId59" xr:uid="{A3CF2F88-7307-4F39-AC77-5A0E39FDFFDA}"/>
    <hyperlink ref="AJ50" r:id="rId60" xr:uid="{76B06FFC-3836-415C-93D7-B05B05F5E2C4}"/>
    <hyperlink ref="B51" r:id="rId61" xr:uid="{9E95A33F-358B-40C2-94A7-FE8863ACDA1A}"/>
    <hyperlink ref="B52" r:id="rId62" xr:uid="{5396B1BA-2F23-429B-92BC-059959559E2E}"/>
    <hyperlink ref="B53" r:id="rId63" xr:uid="{F4CBFC51-1F64-4CE3-8DD2-3B119162BDF8}"/>
    <hyperlink ref="B54" r:id="rId64" xr:uid="{DBBF2BEE-72B2-42AA-B839-61E065F21208}"/>
    <hyperlink ref="B55" r:id="rId65" xr:uid="{3BFD02DB-D155-44A5-ADD8-5A73AADC3CE6}"/>
    <hyperlink ref="AJ55" r:id="rId66" display="http://elproducente.com/dji-spark-vs-xiaomi-mi-4k-drone-comparison-review/" xr:uid="{9ABFFF2D-B969-48E8-99C0-29E3EA78225E}"/>
    <hyperlink ref="B56" r:id="rId67" xr:uid="{3785EAB7-7AD0-4E0F-B857-092B497E7C87}"/>
    <hyperlink ref="B57" r:id="rId68" xr:uid="{E7929123-7DD2-4D18-8DF5-0E63E9A4F6F6}"/>
    <hyperlink ref="AJ57" r:id="rId69" display="https://www.ariesrc.gr/gr/happymodel/19610-appymodel-24g-expresslrs-elrs-ep1-nano-high-refresh-rate-ultra-small-long-range-rc-receiver-for-rc-drone.html" xr:uid="{2930C613-6CD9-4BBA-A303-0BABFE46120E}"/>
    <hyperlink ref="B58" r:id="rId70" xr:uid="{D5C33FF5-F5A8-4DFE-B1F3-9481497707D0}"/>
    <hyperlink ref="B59" r:id="rId71" xr:uid="{8843B586-3558-4B5D-BF45-A90829ED4B11}"/>
    <hyperlink ref="AJ59" r:id="rId72" xr:uid="{E4EBFEB1-DEB5-4C2A-8F74-CB07ECB21A15}"/>
    <hyperlink ref="B60" r:id="rId73" xr:uid="{6E56FE40-07B9-4108-9ABF-C0CC8F2B32C9}"/>
    <hyperlink ref="AJ60" r:id="rId74" xr:uid="{99FB3997-9CC1-44CF-974F-E26E3D4F72FA}"/>
    <hyperlink ref="AK60" r:id="rId75" display="https://www.techadvisor.com/article/1476044/autel-evo-nano-plus-review.html" xr:uid="{3A1ECC81-0D77-4C1A-9F8D-A18A1301CA43}"/>
    <hyperlink ref="B61" r:id="rId76" xr:uid="{35183657-D7CE-47E1-8BB5-1C2792B9506D}"/>
    <hyperlink ref="AJ61" r:id="rId77" display="https://www.digitec.ch/en/s1/product/autel-rc-battery-lipo-6175-mah-111-v-evo-lite-white-1110-v-6175-mah-rc-batteries-19983653" xr:uid="{FB0797BB-AEE1-42B5-81F7-A87166E2358B}"/>
    <hyperlink ref="B62" r:id="rId78" xr:uid="{8FA3CCF2-EB8C-418E-BCD3-D193A17004C9}"/>
    <hyperlink ref="B63" r:id="rId79" xr:uid="{CE36F5CC-1BFF-46E8-A0EE-777CBD1F34DB}"/>
    <hyperlink ref="B64" r:id="rId80" xr:uid="{A07203FA-6350-466A-893E-5346E7A496B9}"/>
    <hyperlink ref="AJ64" r:id="rId81" display="https://www.autelpilot.com/products/evo-ii-dual-640t-v2-with-enterprise-rugged-bundle" xr:uid="{9388CE80-B81C-4220-8575-A5F6F7727D57}"/>
    <hyperlink ref="B65" r:id="rId82" xr:uid="{2FF3FBEE-9DF7-4A54-8B0C-BADD9658DBBC}"/>
    <hyperlink ref="B66" r:id="rId83" xr:uid="{DE452B2E-55B2-428B-B0BC-2B6FEDF3A960}"/>
    <hyperlink ref="AJ67" r:id="rId84" display="https://thetechnologyman.com/ruko-f11-gim2-4k-drone-with-3km-range-full-review/" xr:uid="{6C7A3A98-8C4F-4866-AF8C-8AC599C8B74F}"/>
    <hyperlink ref="AK67" r:id="rId85" location="manual" display="https://www.manualslib.com/manual/2209712/Ruko-F11-Gim.html?page=23 - manual" xr:uid="{E5B1D474-B6D9-4298-984D-69CA6BF5AD51}"/>
    <hyperlink ref="B67" r:id="rId86" xr:uid="{1EAD6D78-B56D-4D30-BC71-5713C93713D5}"/>
    <hyperlink ref="B68" r:id="rId87" xr:uid="{707DC516-3286-4B48-BF8F-C883D85D0432}"/>
    <hyperlink ref="B69" r:id="rId88" xr:uid="{D2864619-576D-4469-AB16-8727437147E7}"/>
    <hyperlink ref="B70" r:id="rId89" xr:uid="{2BE2EB9D-CFE8-49B3-A651-7ECCDA8DC978}"/>
    <hyperlink ref="B71" r:id="rId90" xr:uid="{7D09BD5E-54FA-4AB0-B17F-85E00A5A8A33}"/>
    <hyperlink ref="B72" r:id="rId91" xr:uid="{18C1AA04-E037-4CC9-986C-3190D7DE2067}"/>
    <hyperlink ref="B73" r:id="rId92" xr:uid="{C8E1AD32-FDE8-444F-AEEF-2499B9848198}"/>
    <hyperlink ref="B74" r:id="rId93" xr:uid="{5A9D477C-AC53-4A16-AC9C-CF9F359C7116}"/>
    <hyperlink ref="B75" r:id="rId94" xr:uid="{7C3D9832-4B1E-4491-8A5D-9F437A3E7937}"/>
    <hyperlink ref="B76" r:id="rId95" xr:uid="{CC84D189-6236-4ADA-9FE6-66E9025A44A1}"/>
    <hyperlink ref="B77" r:id="rId96" location="specs" xr:uid="{C2CE8CAC-E754-43E6-BBCA-381AA74B625E}"/>
    <hyperlink ref="B78" r:id="rId97" xr:uid="{C3F5F8B4-8110-4435-88C2-248D6C9BBA72}"/>
    <hyperlink ref="B79" r:id="rId98" xr:uid="{70326133-396D-4444-99CF-91C52C02DC6F}"/>
    <hyperlink ref="B80" r:id="rId99" xr:uid="{73A0539F-42C6-4842-87FD-C3D9E34B9D43}"/>
    <hyperlink ref="AJ80" r:id="rId100" display="https://vantagerobotics.com/wp-content/uploads/2021/01/Vesper-and-Vision-Manual-1_11_21_b.pdf" xr:uid="{FB2668E7-BA95-46BC-85AF-511ADE0E3839}"/>
    <hyperlink ref="B81" r:id="rId101" xr:uid="{301ABA6B-4C17-4A1C-B616-C335CC1CBF1B}"/>
    <hyperlink ref="B82" r:id="rId102" location="jsgg" xr:uid="{48FB453D-6707-4D7E-BD75-EDB7BDEBD761}"/>
    <hyperlink ref="B83" r:id="rId103" location="jsgg" xr:uid="{CEEB7F0D-1FEA-42AB-B221-4AE2A4ACD360}"/>
    <hyperlink ref="B84" r:id="rId104" xr:uid="{82EE55CF-5D4E-45F1-B699-66B881488659}"/>
    <hyperlink ref="AJ77" r:id="rId105" display="https://www.dcrainmaker.com/2016/12/dji-mavic-pro-in-depth-review.html" xr:uid="{74C5907F-B076-4248-822B-0EDBD3797885}"/>
    <hyperlink ref="AJ81" r:id="rId106" display="https://www.droneller.com/blog/ruko-f11-pro-review/" xr:uid="{C51E88CC-0077-4A71-A7CC-9A573DC8AB9A}"/>
    <hyperlink ref="AJ26" r:id="rId107" display="https://www.amazon.de/-/en/Stone-replacement-battery-drone-HS280/dp/B0B4NWHH7L" xr:uid="{A493F137-1C29-4132-80F7-4D2907A68B75}"/>
    <hyperlink ref="AK38" r:id="rId108" display="https://www.xagaustralia.com.au/product-page/09-017-00009" xr:uid="{050DF803-8C06-4D59-8706-81A44E4DA473}"/>
    <hyperlink ref="AK55" r:id="rId109" display="https://www.indiamart.com/proddetail/xiaomi-mi-4k-drone-intelligent-battery-5100mah-for-fimi-1080p-rc-drone-with-gold-white-grey-button-25432843055.html" xr:uid="{7897E6CA-6C4B-45EA-8513-5DFD8B5F4D69}"/>
  </hyperlinks>
  <pageMargins left="0.7" right="0.7" top="0.75" bottom="0.75" header="0.3" footer="0.3"/>
  <pageSetup orientation="portrait"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Pliakos</dc:creator>
  <cp:lastModifiedBy>Christos Pliakos</cp:lastModifiedBy>
  <dcterms:created xsi:type="dcterms:W3CDTF">2015-06-05T18:19:34Z</dcterms:created>
  <dcterms:modified xsi:type="dcterms:W3CDTF">2023-10-20T09:35:23Z</dcterms:modified>
</cp:coreProperties>
</file>